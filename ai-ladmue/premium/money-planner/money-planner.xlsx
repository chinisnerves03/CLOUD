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เริ่มที่นี่" sheetId="1" state="visible" r:id="rId3"/>
    <sheet name="งบรายเดือน" sheetId="2" state="visible" r:id="rId4"/>
    <sheet name="ปลดหนี้" sheetId="3" state="visible" r:id="rId5"/>
    <sheet name="เป้าหมายเก็บเงิน" sheetId="4" state="visible" r:id="rId6"/>
    <sheet name="คำสั่ง A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<sst xmlns="http://schemas.openxmlformats.org/spreadsheetml/2006/main" count="158" uniqueCount="145">
  <si>
    <r>
      <rPr>
        <b val="true"/>
        <sz val="20"/>
        <color rgb="FFFFFFFF"/>
        <rFont val="FreeSans"/>
        <family val="2"/>
      </rPr>
      <t xml:space="preserve">แผนเงินของฉัน</t>
    </r>
    <r>
      <rPr>
        <b val="true"/>
        <sz val="20"/>
        <color rgb="FFFFFFFF"/>
        <rFont val="Tahoma"/>
        <family val="0"/>
        <charset val="1"/>
      </rPr>
      <t xml:space="preserve">: </t>
    </r>
    <r>
      <rPr>
        <b val="true"/>
        <sz val="20"/>
        <color rgb="FFFFFFFF"/>
        <rFont val="FreeSans"/>
        <family val="2"/>
      </rPr>
      <t xml:space="preserve">เก็บเงิน </t>
    </r>
    <r>
      <rPr>
        <b val="true"/>
        <sz val="20"/>
        <color rgb="FFFFFFFF"/>
        <rFont val="Tahoma"/>
        <family val="0"/>
        <charset val="1"/>
      </rPr>
      <t xml:space="preserve">+ </t>
    </r>
    <r>
      <rPr>
        <b val="true"/>
        <sz val="20"/>
        <color rgb="FFFFFFFF"/>
        <rFont val="FreeSans"/>
        <family val="2"/>
      </rPr>
      <t xml:space="preserve">ปลดหนี้</t>
    </r>
  </si>
  <si>
    <t xml:space="preserve">ไฟล์นี้คำนวณให้อัตโนมัติ คุณกรอกเฉพาะช่องสีเหลือง ตัวอักษรสีน้ำเงิน</t>
  </si>
  <si>
    <r>
      <rPr>
        <b val="true"/>
        <sz val="13"/>
        <color rgb="FF1F3A5F"/>
        <rFont val="FreeSans"/>
        <family val="2"/>
      </rPr>
      <t xml:space="preserve">วิธีใช้ </t>
    </r>
    <r>
      <rPr>
        <b val="true"/>
        <sz val="13"/>
        <color rgb="FF1F3A5F"/>
        <rFont val="Tahoma"/>
        <family val="0"/>
        <charset val="1"/>
      </rPr>
      <t xml:space="preserve">4 </t>
    </r>
    <r>
      <rPr>
        <b val="true"/>
        <sz val="13"/>
        <color rgb="FF1F3A5F"/>
        <rFont val="FreeSans"/>
        <family val="2"/>
      </rPr>
      <t xml:space="preserve">ขั้น</t>
    </r>
  </si>
  <si>
    <r>
      <rPr>
        <sz val="11"/>
        <rFont val="Tahoma"/>
        <family val="0"/>
        <charset val="1"/>
      </rPr>
      <t xml:space="preserve">1) </t>
    </r>
    <r>
      <rPr>
        <sz val="11"/>
        <rFont val="FreeSans"/>
        <family val="2"/>
      </rPr>
      <t xml:space="preserve">แท็บ </t>
    </r>
    <r>
      <rPr>
        <sz val="11"/>
        <rFont val="Tahoma"/>
        <family val="0"/>
        <charset val="1"/>
      </rPr>
      <t xml:space="preserve">"</t>
    </r>
    <r>
      <rPr>
        <sz val="11"/>
        <rFont val="FreeSans"/>
        <family val="2"/>
      </rPr>
      <t xml:space="preserve">งบรายเดือน</t>
    </r>
    <r>
      <rPr>
        <sz val="11"/>
        <rFont val="Tahoma"/>
        <family val="0"/>
        <charset val="1"/>
      </rPr>
      <t xml:space="preserve">": </t>
    </r>
    <r>
      <rPr>
        <sz val="11"/>
        <rFont val="FreeSans"/>
        <family val="2"/>
      </rPr>
      <t xml:space="preserve">กรอกรายรับและรายจ่ายต่อเดือนของคุณ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ตัวเลขในไฟล์เป็นตัวอย่าง ให้ลบแล้วใส่ของจริง</t>
    </r>
    <r>
      <rPr>
        <sz val="11"/>
        <rFont val="Tahoma"/>
        <family val="0"/>
        <charset val="1"/>
      </rPr>
      <t xml:space="preserve">)</t>
    </r>
  </si>
  <si>
    <r>
      <rPr>
        <sz val="11"/>
        <rFont val="Tahoma"/>
        <family val="0"/>
        <charset val="1"/>
      </rPr>
      <t xml:space="preserve">2) </t>
    </r>
    <r>
      <rPr>
        <sz val="11"/>
        <rFont val="FreeSans"/>
        <family val="2"/>
      </rPr>
      <t xml:space="preserve">แท็บ </t>
    </r>
    <r>
      <rPr>
        <sz val="11"/>
        <rFont val="Tahoma"/>
        <family val="0"/>
        <charset val="1"/>
      </rPr>
      <t xml:space="preserve">"</t>
    </r>
    <r>
      <rPr>
        <sz val="11"/>
        <rFont val="FreeSans"/>
        <family val="2"/>
      </rPr>
      <t xml:space="preserve">ปลดหนี้</t>
    </r>
    <r>
      <rPr>
        <sz val="11"/>
        <rFont val="Tahoma"/>
        <family val="0"/>
        <charset val="1"/>
      </rPr>
      <t xml:space="preserve">": </t>
    </r>
    <r>
      <rPr>
        <sz val="11"/>
        <rFont val="FreeSans"/>
        <family val="2"/>
      </rPr>
      <t xml:space="preserve">กรอกหนี้แต่ละก้อน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ยอดคงเหลือ ดอกเบี้ย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ปี ค่างวดขั้นต่ำ</t>
    </r>
    <r>
      <rPr>
        <sz val="11"/>
        <rFont val="Tahoma"/>
        <family val="0"/>
        <charset val="1"/>
      </rPr>
      <t xml:space="preserve">) </t>
    </r>
    <r>
      <rPr>
        <sz val="11"/>
        <rFont val="FreeSans"/>
        <family val="2"/>
      </rPr>
      <t xml:space="preserve">แล้วเลือกวิธีปลดหนี้</t>
    </r>
  </si>
  <si>
    <r>
      <rPr>
        <sz val="11"/>
        <rFont val="Tahoma"/>
        <family val="0"/>
        <charset val="1"/>
      </rPr>
      <t xml:space="preserve">3) </t>
    </r>
    <r>
      <rPr>
        <sz val="11"/>
        <rFont val="FreeSans"/>
        <family val="2"/>
      </rPr>
      <t xml:space="preserve">แท็บ </t>
    </r>
    <r>
      <rPr>
        <sz val="11"/>
        <rFont val="Tahoma"/>
        <family val="0"/>
        <charset val="1"/>
      </rPr>
      <t xml:space="preserve">"</t>
    </r>
    <r>
      <rPr>
        <sz val="11"/>
        <rFont val="FreeSans"/>
        <family val="2"/>
      </rPr>
      <t xml:space="preserve">เป้าหมายเก็บเงิน</t>
    </r>
    <r>
      <rPr>
        <sz val="11"/>
        <rFont val="Tahoma"/>
        <family val="0"/>
        <charset val="1"/>
      </rPr>
      <t xml:space="preserve">": </t>
    </r>
    <r>
      <rPr>
        <sz val="11"/>
        <rFont val="FreeSans"/>
        <family val="2"/>
      </rPr>
      <t xml:space="preserve">ใส่เป้าหมายและจำนวนเดือน ไฟล์จะบอกว่าต้องเก็บเดือนละ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วันละเท่าไหร่</t>
    </r>
  </si>
  <si>
    <r>
      <rPr>
        <sz val="11"/>
        <rFont val="Tahoma"/>
        <family val="0"/>
        <charset val="1"/>
      </rPr>
      <t xml:space="preserve">4) </t>
    </r>
    <r>
      <rPr>
        <sz val="11"/>
        <rFont val="FreeSans"/>
        <family val="2"/>
      </rPr>
      <t xml:space="preserve">แท็บ </t>
    </r>
    <r>
      <rPr>
        <sz val="11"/>
        <rFont val="Tahoma"/>
        <family val="0"/>
        <charset val="1"/>
      </rPr>
      <t xml:space="preserve">"</t>
    </r>
    <r>
      <rPr>
        <sz val="11"/>
        <rFont val="FreeSans"/>
        <family val="2"/>
      </rPr>
      <t xml:space="preserve">คำสั่ง </t>
    </r>
    <r>
      <rPr>
        <sz val="11"/>
        <rFont val="Tahoma"/>
        <family val="0"/>
        <charset val="1"/>
      </rPr>
      <t xml:space="preserve">AI": </t>
    </r>
    <r>
      <rPr>
        <sz val="11"/>
        <rFont val="FreeSans"/>
        <family val="2"/>
      </rPr>
      <t xml:space="preserve">คัดลอกคำสั่งไปวางใน </t>
    </r>
    <r>
      <rPr>
        <sz val="11"/>
        <rFont val="Tahoma"/>
        <family val="0"/>
        <charset val="1"/>
      </rPr>
      <t xml:space="preserve">ChatGPT/Claude </t>
    </r>
    <r>
      <rPr>
        <sz val="11"/>
        <rFont val="FreeSans"/>
        <family val="2"/>
      </rPr>
      <t xml:space="preserve">ให้ช่วยตรวจและปรับแผน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อย่าใส่เลขบัญชีหรือรหัสผ่าน</t>
    </r>
    <r>
      <rPr>
        <sz val="11"/>
        <rFont val="Tahoma"/>
        <family val="0"/>
        <charset val="1"/>
      </rPr>
      <t xml:space="preserve">)</t>
    </r>
  </si>
  <si>
    <t xml:space="preserve">สีในไฟล์</t>
  </si>
  <si>
    <r>
      <rPr>
        <sz val="11"/>
        <rFont val="FreeSans"/>
        <family val="2"/>
      </rPr>
      <t xml:space="preserve">ช่องสีเหลือง </t>
    </r>
    <r>
      <rPr>
        <sz val="11"/>
        <rFont val="Tahoma"/>
        <family val="0"/>
        <charset val="1"/>
      </rPr>
      <t xml:space="preserve">+ </t>
    </r>
    <r>
      <rPr>
        <sz val="11"/>
        <rFont val="FreeSans"/>
        <family val="2"/>
      </rPr>
      <t xml:space="preserve">ตัวอักษรสีน้ำเงิน </t>
    </r>
    <r>
      <rPr>
        <sz val="11"/>
        <rFont val="Tahoma"/>
        <family val="0"/>
        <charset val="1"/>
      </rPr>
      <t xml:space="preserve">= </t>
    </r>
    <r>
      <rPr>
        <sz val="11"/>
        <rFont val="FreeSans"/>
        <family val="2"/>
      </rPr>
      <t xml:space="preserve">ให้คุณกรอก   </t>
    </r>
    <r>
      <rPr>
        <sz val="11"/>
        <rFont val="Tahoma"/>
        <family val="0"/>
        <charset val="1"/>
      </rPr>
      <t xml:space="preserve">|   </t>
    </r>
    <r>
      <rPr>
        <sz val="11"/>
        <rFont val="FreeSans"/>
        <family val="2"/>
      </rPr>
      <t xml:space="preserve">ตัวอักษรสีดำ </t>
    </r>
    <r>
      <rPr>
        <sz val="11"/>
        <rFont val="Tahoma"/>
        <family val="0"/>
        <charset val="1"/>
      </rPr>
      <t xml:space="preserve">= </t>
    </r>
    <r>
      <rPr>
        <sz val="11"/>
        <rFont val="FreeSans"/>
        <family val="2"/>
      </rPr>
      <t xml:space="preserve">สูตรคำนวณ อย่าพิมพ์ทับ   </t>
    </r>
    <r>
      <rPr>
        <sz val="11"/>
        <rFont val="Tahoma"/>
        <family val="0"/>
        <charset val="1"/>
      </rPr>
      <t xml:space="preserve">|   </t>
    </r>
    <r>
      <rPr>
        <sz val="11"/>
        <rFont val="FreeSans"/>
        <family val="2"/>
      </rPr>
      <t xml:space="preserve">สีเขียว </t>
    </r>
    <r>
      <rPr>
        <sz val="11"/>
        <rFont val="Tahoma"/>
        <family val="0"/>
        <charset val="1"/>
      </rPr>
      <t xml:space="preserve">= </t>
    </r>
    <r>
      <rPr>
        <sz val="11"/>
        <rFont val="FreeSans"/>
        <family val="2"/>
      </rPr>
      <t xml:space="preserve">ดึงค่าจากแท็บอื่น</t>
    </r>
  </si>
  <si>
    <t xml:space="preserve">ข้อควรรู้</t>
  </si>
  <si>
    <t xml:space="preserve">• ไฟล์นี้เป็นเครื่องคำนวณเพื่อวางแผนเบื้องต้น ไม่ใช่คำแนะนำการลงทุน กฎหมาย หรือภาษี</t>
  </si>
  <si>
    <t xml:space="preserve">• ผลคำนวณขึ้นกับตัวเลขที่คุณกรอก ดอกเบี้ยจริงและค่าธรรมเนียมของเจ้าหนี้อาจต่างจากที่ไฟล์ประมาณ ให้ตรวจกับใบแจ้งหนี้จริง</t>
  </si>
  <si>
    <r>
      <rPr>
        <sz val="11"/>
        <rFont val="FreeSans"/>
        <family val="2"/>
      </rPr>
      <t xml:space="preserve">• ตารางปลดหนี้จำลองสูงสุด </t>
    </r>
    <r>
      <rPr>
        <sz val="11"/>
        <rFont val="Tahoma"/>
        <family val="0"/>
        <charset val="1"/>
      </rPr>
      <t xml:space="preserve">120 </t>
    </r>
    <r>
      <rPr>
        <sz val="11"/>
        <rFont val="FreeSans"/>
        <family val="2"/>
      </rPr>
      <t xml:space="preserve">เดือน และรองรับหนี้ </t>
    </r>
    <r>
      <rPr>
        <sz val="11"/>
        <rFont val="Tahoma"/>
        <family val="0"/>
        <charset val="1"/>
      </rPr>
      <t xml:space="preserve">6 </t>
    </r>
    <r>
      <rPr>
        <sz val="11"/>
        <rFont val="FreeSans"/>
        <family val="2"/>
      </rPr>
      <t xml:space="preserve">ก้อน</t>
    </r>
  </si>
  <si>
    <t xml:space="preserve">• ถ้ามีปัญหาหนี้หนักหรือถูกทวงหนี้ผิดวิธี ควรปรึกษาหน่วยงานที่ให้คำปรึกษาด้านหนี้โดยตรง</t>
  </si>
  <si>
    <t xml:space="preserve">• ไม่ได้รวมเงินเฟ้อ ภาษี และความเสี่ยงของผลตอบแทนใดๆ</t>
  </si>
  <si>
    <r>
      <rPr>
        <sz val="10"/>
        <color rgb="FF777777"/>
        <rFont val="Tahoma"/>
        <family val="0"/>
        <charset val="1"/>
      </rPr>
      <t xml:space="preserve">AI </t>
    </r>
    <r>
      <rPr>
        <sz val="10"/>
        <color rgb="FF777777"/>
        <rFont val="FreeSans"/>
        <family val="2"/>
      </rPr>
      <t xml:space="preserve">ลัดมือ </t>
    </r>
    <r>
      <rPr>
        <sz val="10"/>
        <color rgb="FF777777"/>
        <rFont val="Tahoma"/>
        <family val="0"/>
        <charset val="1"/>
      </rPr>
      <t xml:space="preserve">· @ailadmue</t>
    </r>
  </si>
  <si>
    <t xml:space="preserve">งบรายเดือน</t>
  </si>
  <si>
    <r>
      <rPr>
        <i val="true"/>
        <sz val="10"/>
        <color rgb="FF555555"/>
        <rFont val="FreeSans"/>
        <family val="2"/>
      </rPr>
      <t xml:space="preserve">ตัวเลขเป็นตัวอย่าง ให้แทนด้วยของจริงของคุณ </t>
    </r>
    <r>
      <rPr>
        <i val="true"/>
        <sz val="10"/>
        <color rgb="FF555555"/>
        <rFont val="Tahoma"/>
        <family val="0"/>
        <charset val="1"/>
      </rPr>
      <t xml:space="preserve">(</t>
    </r>
    <r>
      <rPr>
        <i val="true"/>
        <sz val="10"/>
        <color rgb="FF555555"/>
        <rFont val="FreeSans"/>
        <family val="2"/>
      </rPr>
      <t xml:space="preserve">หน่วย</t>
    </r>
    <r>
      <rPr>
        <i val="true"/>
        <sz val="10"/>
        <color rgb="FF555555"/>
        <rFont val="Tahoma"/>
        <family val="0"/>
        <charset val="1"/>
      </rPr>
      <t xml:space="preserve">: </t>
    </r>
    <r>
      <rPr>
        <i val="true"/>
        <sz val="10"/>
        <color rgb="FF555555"/>
        <rFont val="FreeSans"/>
        <family val="2"/>
      </rPr>
      <t xml:space="preserve">บาท</t>
    </r>
    <r>
      <rPr>
        <i val="true"/>
        <sz val="10"/>
        <color rgb="FF555555"/>
        <rFont val="Tahoma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เดือน</t>
    </r>
    <r>
      <rPr>
        <i val="true"/>
        <sz val="10"/>
        <color rgb="FF555555"/>
        <rFont val="Tahoma"/>
        <family val="0"/>
        <charset val="1"/>
      </rPr>
      <t xml:space="preserve">)</t>
    </r>
  </si>
  <si>
    <t xml:space="preserve">รายรับ</t>
  </si>
  <si>
    <r>
      <rPr>
        <b val="true"/>
        <sz val="11"/>
        <color rgb="FFFFFFFF"/>
        <rFont val="FreeSans"/>
        <family val="2"/>
      </rPr>
      <t xml:space="preserve">บาท</t>
    </r>
    <r>
      <rPr>
        <b val="true"/>
        <sz val="11"/>
        <color rgb="FFFFFFFF"/>
        <rFont val="Tahoma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เดือน</t>
    </r>
  </si>
  <si>
    <r>
      <rPr>
        <sz val="11"/>
        <rFont val="FreeSans"/>
        <family val="2"/>
      </rPr>
      <t xml:space="preserve">เงินเดือน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รายได้หลัก</t>
    </r>
  </si>
  <si>
    <t xml:space="preserve">รายได้เสริม</t>
  </si>
  <si>
    <t xml:space="preserve">รายได้อื่นๆ</t>
  </si>
  <si>
    <t xml:space="preserve">รวมรายรับ</t>
  </si>
  <si>
    <t xml:space="preserve">รายจ่าย</t>
  </si>
  <si>
    <t xml:space="preserve">ประเภท</t>
  </si>
  <si>
    <t xml:space="preserve">หมายเหตุ</t>
  </si>
  <si>
    <r>
      <rPr>
        <sz val="11"/>
        <rFont val="FreeSans"/>
        <family val="2"/>
      </rPr>
      <t xml:space="preserve">ที่พัก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ค่าเช่า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ผ่อนบ้าน</t>
    </r>
  </si>
  <si>
    <t xml:space="preserve">จำเป็น</t>
  </si>
  <si>
    <t xml:space="preserve">อาหาร</t>
  </si>
  <si>
    <r>
      <rPr>
        <sz val="11"/>
        <rFont val="FreeSans"/>
        <family val="2"/>
      </rPr>
      <t xml:space="preserve">เดินทาง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น้ำมัน</t>
    </r>
  </si>
  <si>
    <t xml:space="preserve">ค่าน้ำ ไฟ เน็ต โทรศัพท์</t>
  </si>
  <si>
    <r>
      <rPr>
        <sz val="11"/>
        <rFont val="FreeSans"/>
        <family val="2"/>
      </rPr>
      <t xml:space="preserve">ประกัน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สุขภาพ</t>
    </r>
  </si>
  <si>
    <r>
      <rPr>
        <sz val="11"/>
        <rFont val="FreeSans"/>
        <family val="2"/>
      </rPr>
      <t xml:space="preserve">กิน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เที่ยว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บันเทิง</t>
    </r>
  </si>
  <si>
    <t xml:space="preserve">อยากได้</t>
  </si>
  <si>
    <t xml:space="preserve">ช้อปปิ้ง</t>
  </si>
  <si>
    <r>
      <rPr>
        <sz val="11"/>
        <rFont val="FreeSans"/>
        <family val="2"/>
      </rPr>
      <t xml:space="preserve">สมาชิกรายเดือน </t>
    </r>
    <r>
      <rPr>
        <sz val="11"/>
        <rFont val="Tahoma"/>
        <family val="0"/>
        <charset val="1"/>
      </rPr>
      <t xml:space="preserve">(Netflix </t>
    </r>
    <r>
      <rPr>
        <sz val="11"/>
        <rFont val="FreeSans"/>
        <family val="2"/>
      </rPr>
      <t xml:space="preserve">ฯลฯ</t>
    </r>
    <r>
      <rPr>
        <sz val="11"/>
        <rFont val="Tahoma"/>
        <family val="0"/>
        <charset val="1"/>
      </rPr>
      <t xml:space="preserve">)</t>
    </r>
  </si>
  <si>
    <t xml:space="preserve">อื่นๆ</t>
  </si>
  <si>
    <r>
      <rPr>
        <sz val="11"/>
        <rFont val="FreeSans"/>
        <family val="2"/>
      </rPr>
      <t xml:space="preserve">ค่างวดขั้นต่ำของหนี้ทั้งหมด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ดึงจากแท็บ ปลดหนี้</t>
    </r>
    <r>
      <rPr>
        <sz val="11"/>
        <rFont val="Tahoma"/>
        <family val="0"/>
        <charset val="1"/>
      </rPr>
      <t xml:space="preserve">)</t>
    </r>
  </si>
  <si>
    <t xml:space="preserve">รวมรายจ่าย</t>
  </si>
  <si>
    <r>
      <rPr>
        <b val="true"/>
        <sz val="11"/>
        <rFont val="FreeSans"/>
        <family val="2"/>
      </rPr>
      <t xml:space="preserve">เงินเหลือต่อเดือน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รายรับ − รายจ่าย</t>
    </r>
    <r>
      <rPr>
        <b val="true"/>
        <sz val="11"/>
        <rFont val="Tahoma"/>
        <family val="0"/>
        <charset val="1"/>
      </rPr>
      <t xml:space="preserve">)</t>
    </r>
  </si>
  <si>
    <t xml:space="preserve">ถ้าติดลบ แปลว่ารายจ่ายมากกว่ารายรับ ต้องปรับก่อน</t>
  </si>
  <si>
    <t xml:space="preserve">แบ่งเงินที่เหลือ</t>
  </si>
  <si>
    <r>
      <rPr>
        <sz val="11"/>
        <rFont val="FreeSans"/>
        <family val="2"/>
      </rPr>
      <t xml:space="preserve">ใช้ปลดหนี้เพิ่ม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นอกเหนือจากค่างวดขั้นต่ำ</t>
    </r>
    <r>
      <rPr>
        <sz val="11"/>
        <rFont val="Tahoma"/>
        <family val="0"/>
        <charset val="1"/>
      </rPr>
      <t xml:space="preserve">)</t>
    </r>
  </si>
  <si>
    <t xml:space="preserve">ใช้เก็บเงินตามเป้าหมาย</t>
  </si>
  <si>
    <t xml:space="preserve">เหลือหลังแบ่งแล้ว</t>
  </si>
  <si>
    <t xml:space="preserve">ดูสัดส่วนรายจ่าย</t>
  </si>
  <si>
    <t xml:space="preserve">บาท</t>
  </si>
  <si>
    <r>
      <rPr>
        <b val="true"/>
        <sz val="11"/>
        <color rgb="FFFFFFFF"/>
        <rFont val="Tahoma"/>
        <family val="0"/>
        <charset val="1"/>
      </rPr>
      <t xml:space="preserve">% </t>
    </r>
    <r>
      <rPr>
        <b val="true"/>
        <sz val="11"/>
        <color rgb="FFFFFFFF"/>
        <rFont val="FreeSans"/>
        <family val="2"/>
      </rPr>
      <t xml:space="preserve">ของรายรับ</t>
    </r>
  </si>
  <si>
    <r>
      <rPr>
        <sz val="11"/>
        <rFont val="FreeSans"/>
        <family val="2"/>
      </rPr>
      <t xml:space="preserve">จำเป็น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รวมค่างวดหนี้</t>
    </r>
    <r>
      <rPr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</si>
  <si>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เงินออม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ปลดหนี้เพิ่ม</t>
    </r>
  </si>
  <si>
    <r>
      <rPr>
        <i val="true"/>
        <sz val="10"/>
        <color rgb="FF555555"/>
        <rFont val="FreeSans"/>
        <family val="2"/>
      </rPr>
      <t xml:space="preserve">หมายเหตุ</t>
    </r>
    <r>
      <rPr>
        <i val="true"/>
        <sz val="10"/>
        <color rgb="FF555555"/>
        <rFont val="Tahoma"/>
        <family val="0"/>
        <charset val="1"/>
      </rPr>
      <t xml:space="preserve">: </t>
    </r>
    <r>
      <rPr>
        <i val="true"/>
        <sz val="10"/>
        <color rgb="FF555555"/>
        <rFont val="FreeSans"/>
        <family val="2"/>
      </rPr>
      <t xml:space="preserve">สัดส่วนอ้างอิงกฎ </t>
    </r>
    <r>
      <rPr>
        <i val="true"/>
        <sz val="10"/>
        <color rgb="FF555555"/>
        <rFont val="Tahoma"/>
        <family val="0"/>
        <charset val="1"/>
      </rPr>
      <t xml:space="preserve">50/30/20 (</t>
    </r>
    <r>
      <rPr>
        <i val="true"/>
        <sz val="10"/>
        <color rgb="FF555555"/>
        <rFont val="FreeSans"/>
        <family val="2"/>
      </rPr>
      <t xml:space="preserve">จำเป็น </t>
    </r>
    <r>
      <rPr>
        <i val="true"/>
        <sz val="10"/>
        <color rgb="FF555555"/>
        <rFont val="Tahoma"/>
        <family val="0"/>
        <charset val="1"/>
      </rPr>
      <t xml:space="preserve">50% </t>
    </r>
    <r>
      <rPr>
        <i val="true"/>
        <sz val="10"/>
        <color rgb="FF555555"/>
        <rFont val="FreeSans"/>
        <family val="2"/>
      </rPr>
      <t xml:space="preserve">อยากได้ </t>
    </r>
    <r>
      <rPr>
        <i val="true"/>
        <sz val="10"/>
        <color rgb="FF555555"/>
        <rFont val="Tahoma"/>
        <family val="0"/>
        <charset val="1"/>
      </rPr>
      <t xml:space="preserve">30% </t>
    </r>
    <r>
      <rPr>
        <i val="true"/>
        <sz val="10"/>
        <color rgb="FF555555"/>
        <rFont val="FreeSans"/>
        <family val="2"/>
      </rPr>
      <t xml:space="preserve">เก็บ</t>
    </r>
    <r>
      <rPr>
        <i val="true"/>
        <sz val="10"/>
        <color rgb="FF555555"/>
        <rFont val="Tahoma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ปลดหนี้ </t>
    </r>
    <r>
      <rPr>
        <i val="true"/>
        <sz val="10"/>
        <color rgb="FF555555"/>
        <rFont val="Tahoma"/>
        <family val="0"/>
        <charset val="1"/>
      </rPr>
      <t xml:space="preserve">20%) </t>
    </r>
    <r>
      <rPr>
        <i val="true"/>
        <sz val="10"/>
        <color rgb="FF555555"/>
        <rFont val="FreeSans"/>
        <family val="2"/>
      </rPr>
      <t xml:space="preserve">เป็นแค่แนวทางทั่วไป ไม่ใช่เกณฑ์ตายตัว</t>
    </r>
  </si>
  <si>
    <r>
      <rPr>
        <b val="true"/>
        <sz val="20"/>
        <color rgb="FFFFFFFF"/>
        <rFont val="FreeSans"/>
        <family val="2"/>
      </rPr>
      <t xml:space="preserve">แผนปลดหนี้ </t>
    </r>
    <r>
      <rPr>
        <b val="true"/>
        <sz val="20"/>
        <color rgb="FFFFFFFF"/>
        <rFont val="Tahoma"/>
        <family val="0"/>
        <charset val="1"/>
      </rPr>
      <t xml:space="preserve">(</t>
    </r>
    <r>
      <rPr>
        <b val="true"/>
        <sz val="20"/>
        <color rgb="FFFFFFFF"/>
        <rFont val="FreeSans"/>
        <family val="2"/>
      </rPr>
      <t xml:space="preserve">จำลองสูงสุด </t>
    </r>
    <r>
      <rPr>
        <b val="true"/>
        <sz val="20"/>
        <color rgb="FFFFFFFF"/>
        <rFont val="Tahoma"/>
        <family val="0"/>
        <charset val="1"/>
      </rPr>
      <t xml:space="preserve">120 </t>
    </r>
    <r>
      <rPr>
        <b val="true"/>
        <sz val="20"/>
        <color rgb="FFFFFFFF"/>
        <rFont val="FreeSans"/>
        <family val="2"/>
      </rPr>
      <t xml:space="preserve">เดือน</t>
    </r>
    <r>
      <rPr>
        <b val="true"/>
        <sz val="20"/>
        <color rgb="FFFFFFFF"/>
        <rFont val="Tahoma"/>
        <family val="0"/>
        <charset val="1"/>
      </rPr>
      <t xml:space="preserve">)</t>
    </r>
  </si>
  <si>
    <r>
      <rPr>
        <i val="true"/>
        <sz val="10"/>
        <color rgb="FF555555"/>
        <rFont val="FreeSans"/>
        <family val="2"/>
      </rPr>
      <t xml:space="preserve">กรอกหนี้สูงสุด </t>
    </r>
    <r>
      <rPr>
        <i val="true"/>
        <sz val="10"/>
        <color rgb="FF555555"/>
        <rFont val="Tahoma"/>
        <family val="0"/>
        <charset val="1"/>
      </rPr>
      <t xml:space="preserve">6 </t>
    </r>
    <r>
      <rPr>
        <i val="true"/>
        <sz val="10"/>
        <color rgb="FF555555"/>
        <rFont val="FreeSans"/>
        <family val="2"/>
      </rPr>
      <t xml:space="preserve">ก้อนในช่องสีเหลือง ไฟล์จะเรียงลำดับตามวิธีที่เลือกและจำลองการจ่ายให้ ตัวอย่างในไฟล์เป็นตัวเลขสมมติ</t>
    </r>
  </si>
  <si>
    <t xml:space="preserve">วิธีปลดหนี้</t>
  </si>
  <si>
    <t xml:space="preserve">ดอกเบี้ยสูงสุดก่อน</t>
  </si>
  <si>
    <r>
      <rPr>
        <i val="true"/>
        <sz val="10"/>
        <color rgb="FF555555"/>
        <rFont val="FreeSans"/>
        <family val="2"/>
      </rPr>
      <t xml:space="preserve">ดอกเบี้ยสูงสุดก่อน </t>
    </r>
    <r>
      <rPr>
        <i val="true"/>
        <sz val="10"/>
        <color rgb="FF555555"/>
        <rFont val="Tahoma"/>
        <family val="0"/>
        <charset val="1"/>
      </rPr>
      <t xml:space="preserve">= </t>
    </r>
    <r>
      <rPr>
        <i val="true"/>
        <sz val="10"/>
        <color rgb="FF555555"/>
        <rFont val="FreeSans"/>
        <family val="2"/>
      </rPr>
      <t xml:space="preserve">จ่ายดอกเบี้ยรวมน้อยกว่า </t>
    </r>
    <r>
      <rPr>
        <i val="true"/>
        <sz val="10"/>
        <color rgb="FF555555"/>
        <rFont val="Tahoma"/>
        <family val="0"/>
        <charset val="1"/>
      </rPr>
      <t xml:space="preserve">| </t>
    </r>
    <r>
      <rPr>
        <i val="true"/>
        <sz val="10"/>
        <color rgb="FF555555"/>
        <rFont val="FreeSans"/>
        <family val="2"/>
      </rPr>
      <t xml:space="preserve">ยอดน้อยสุดก่อน </t>
    </r>
    <r>
      <rPr>
        <i val="true"/>
        <sz val="10"/>
        <color rgb="FF555555"/>
        <rFont val="Tahoma"/>
        <family val="0"/>
        <charset val="1"/>
      </rPr>
      <t xml:space="preserve">= </t>
    </r>
    <r>
      <rPr>
        <i val="true"/>
        <sz val="10"/>
        <color rgb="FF555555"/>
        <rFont val="FreeSans"/>
        <family val="2"/>
      </rPr>
      <t xml:space="preserve">ปิดก้อนเล็กได้เร็ว ให้กำลังใจ</t>
    </r>
  </si>
  <si>
    <t xml:space="preserve">#</t>
  </si>
  <si>
    <t xml:space="preserve">ชื่อหนี้</t>
  </si>
  <si>
    <r>
      <rPr>
        <b val="true"/>
        <sz val="11"/>
        <color rgb="FFFFFFFF"/>
        <rFont val="FreeSans"/>
        <family val="2"/>
      </rPr>
      <t xml:space="preserve">ยอดคงเหลือ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บาท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</si>
  <si>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ค่างวดขั้นต่ำ</t>
    </r>
    <r>
      <rPr>
        <b val="true"/>
        <sz val="11"/>
        <color rgb="FFFFFFFF"/>
        <rFont val="Tahoma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เดือน</t>
    </r>
  </si>
  <si>
    <r>
      <rPr>
        <b val="true"/>
        <sz val="11"/>
        <color rgb="FFFFFFFF"/>
        <rFont val="FreeSans"/>
        <family val="2"/>
      </rPr>
      <t xml:space="preserve">ดอกเบี้ย</t>
    </r>
    <r>
      <rPr>
        <b val="true"/>
        <sz val="11"/>
        <color rgb="FFFFFFFF"/>
        <rFont val="Tahoma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ปี</t>
    </r>
  </si>
  <si>
    <t xml:space="preserve">ลำดับที่จ่ายก่อน</t>
  </si>
  <si>
    <r>
      <rPr>
        <sz val="9"/>
        <color rgb="FF999999"/>
        <rFont val="Tahoma"/>
        <family val="0"/>
        <charset val="1"/>
      </rPr>
      <t xml:space="preserve">(</t>
    </r>
    <r>
      <rPr>
        <sz val="9"/>
        <color rgb="FF999999"/>
        <rFont val="FreeSans"/>
        <family val="2"/>
      </rPr>
      <t xml:space="preserve">คีย์จัดลำดับ</t>
    </r>
    <r>
      <rPr>
        <sz val="9"/>
        <color rgb="FF999999"/>
        <rFont val="Tahoma"/>
        <family val="0"/>
        <charset val="1"/>
      </rPr>
      <t xml:space="preserve">)</t>
    </r>
  </si>
  <si>
    <r>
      <rPr>
        <sz val="11"/>
        <color rgb="FF0000FF"/>
        <rFont val="FreeSans"/>
        <family val="2"/>
      </rPr>
      <t xml:space="preserve">บัตรเครดิต </t>
    </r>
    <r>
      <rPr>
        <sz val="11"/>
        <color rgb="FF0000FF"/>
        <rFont val="Tahoma"/>
        <family val="0"/>
        <charset val="1"/>
      </rPr>
      <t xml:space="preserve">A</t>
    </r>
  </si>
  <si>
    <t xml:space="preserve">ผ่อนมือถือ</t>
  </si>
  <si>
    <t xml:space="preserve">สินเชื่อส่วนบุคคล</t>
  </si>
  <si>
    <t xml:space="preserve">รวม</t>
  </si>
  <si>
    <r>
      <rPr>
        <sz val="11"/>
        <rFont val="FreeSans"/>
        <family val="2"/>
      </rPr>
      <t xml:space="preserve">เงินเพิ่มปลดหนี้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เดือน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จากแท็บ งบรายเดือน</t>
    </r>
    <r>
      <rPr>
        <sz val="11"/>
        <rFont val="Tahoma"/>
        <family val="0"/>
        <charset val="1"/>
      </rPr>
      <t xml:space="preserve">)</t>
    </r>
  </si>
  <si>
    <r>
      <rPr>
        <b val="true"/>
        <sz val="11"/>
        <rFont val="FreeSans"/>
        <family val="2"/>
      </rPr>
      <t xml:space="preserve">งบจ่ายหนี้รวมต่อเดือน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คงที่ทุกเดือน</t>
    </r>
    <r>
      <rPr>
        <b val="true"/>
        <sz val="11"/>
        <rFont val="Tahoma"/>
        <family val="0"/>
        <charset val="1"/>
      </rPr>
      <t xml:space="preserve">)</t>
    </r>
  </si>
  <si>
    <r>
      <rPr>
        <b val="true"/>
        <sz val="13"/>
        <color rgb="FF1F3A5F"/>
        <rFont val="FreeSans"/>
        <family val="2"/>
      </rPr>
      <t xml:space="preserve">ตารางเรียงตามลำดับที่จ่ายก่อน </t>
    </r>
    <r>
      <rPr>
        <b val="true"/>
        <sz val="13"/>
        <color rgb="FF1F3A5F"/>
        <rFont val="Tahoma"/>
        <family val="0"/>
        <charset val="1"/>
      </rPr>
      <t xml:space="preserve">(</t>
    </r>
    <r>
      <rPr>
        <b val="true"/>
        <sz val="13"/>
        <color rgb="FF1F3A5F"/>
        <rFont val="FreeSans"/>
        <family val="2"/>
      </rPr>
      <t xml:space="preserve">ใช้คำนวณ</t>
    </r>
    <r>
      <rPr>
        <b val="true"/>
        <sz val="13"/>
        <color rgb="FF1F3A5F"/>
        <rFont val="Tahoma"/>
        <family val="0"/>
        <charset val="1"/>
      </rPr>
      <t xml:space="preserve">)</t>
    </r>
  </si>
  <si>
    <t xml:space="preserve">ลำดับ</t>
  </si>
  <si>
    <t xml:space="preserve">ชื่อ</t>
  </si>
  <si>
    <t xml:space="preserve">ยอดคงเหลือ</t>
  </si>
  <si>
    <t xml:space="preserve">ขั้นต่ำ</t>
  </si>
  <si>
    <t xml:space="preserve">สรุปผล</t>
  </si>
  <si>
    <r>
      <rPr>
        <sz val="11"/>
        <rFont val="FreeSans"/>
        <family val="2"/>
      </rPr>
      <t xml:space="preserve">ปลดหนี้หมดในอีก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เดือน</t>
    </r>
    <r>
      <rPr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</si>
  <si>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ดอกเบี้ยรวมที่จ่ายตลอดแผน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บาท</t>
    </r>
    <r>
      <rPr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</si>
  <si>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จ่ายรวมทั้งหมด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บาท</t>
    </r>
    <r>
      <rPr>
        <sz val="11"/>
        <rFont val="Tahoma"/>
        <family val="0"/>
        <charset val="1"/>
      </rPr>
      <t xml:space="preserve">)</t>
    </r>
  </si>
  <si>
    <r>
      <rPr>
        <i val="true"/>
        <sz val="10"/>
        <color rgb="FFC0392B"/>
        <rFont val="FreeSans"/>
        <family val="2"/>
      </rPr>
      <t xml:space="preserve">ตรวจสอบ</t>
    </r>
    <r>
      <rPr>
        <i val="true"/>
        <sz val="10"/>
        <color rgb="FFC0392B"/>
        <rFont val="Tahoma"/>
        <family val="0"/>
        <charset val="1"/>
      </rPr>
      <t xml:space="preserve">: </t>
    </r>
    <r>
      <rPr>
        <i val="true"/>
        <sz val="10"/>
        <color rgb="FFC0392B"/>
        <rFont val="FreeSans"/>
        <family val="2"/>
      </rPr>
      <t xml:space="preserve">ถ้างบจ่ายรวมน้อยกว่าดอกเบี้ยรายเดือน หนี้จะไม่ลด</t>
    </r>
  </si>
  <si>
    <r>
      <rPr>
        <sz val="11"/>
        <rFont val="FreeSans"/>
        <family val="2"/>
      </rPr>
      <t xml:space="preserve">ปีและเดือนตัวอย่างที่ปลดหนี้หมด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นับจากเดือนนี้</t>
    </r>
    <r>
      <rPr>
        <sz val="11"/>
        <rFont val="Tahoma"/>
        <family val="0"/>
        <charset val="1"/>
      </rPr>
      <t xml:space="preserve">)</t>
    </r>
  </si>
  <si>
    <r>
      <rPr>
        <i val="true"/>
        <sz val="10"/>
        <color rgb="FF555555"/>
        <rFont val="FreeSans"/>
        <family val="2"/>
      </rPr>
      <t xml:space="preserve">ตารางจำลองรายเดือน </t>
    </r>
    <r>
      <rPr>
        <i val="true"/>
        <sz val="10"/>
        <color rgb="FF555555"/>
        <rFont val="Tahoma"/>
        <family val="0"/>
        <charset val="1"/>
      </rPr>
      <t xml:space="preserve">(</t>
    </r>
    <r>
      <rPr>
        <i val="true"/>
        <sz val="10"/>
        <color rgb="FF555555"/>
        <rFont val="FreeSans"/>
        <family val="2"/>
      </rPr>
      <t xml:space="preserve">ด้านล่าง</t>
    </r>
    <r>
      <rPr>
        <i val="true"/>
        <sz val="10"/>
        <color rgb="FF555555"/>
        <rFont val="Tahoma"/>
        <family val="0"/>
        <charset val="1"/>
      </rPr>
      <t xml:space="preserve">): </t>
    </r>
    <r>
      <rPr>
        <i val="true"/>
        <sz val="10"/>
        <color rgb="FF555555"/>
        <rFont val="FreeSans"/>
        <family val="2"/>
      </rPr>
      <t xml:space="preserve">เดือนที่ </t>
    </r>
    <r>
      <rPr>
        <i val="true"/>
        <sz val="10"/>
        <color rgb="FF555555"/>
        <rFont val="Tahoma"/>
        <family val="0"/>
        <charset val="1"/>
      </rPr>
      <t xml:space="preserve">1 = </t>
    </r>
    <r>
      <rPr>
        <i val="true"/>
        <sz val="10"/>
        <color rgb="FF555555"/>
        <rFont val="FreeSans"/>
        <family val="2"/>
      </rPr>
      <t xml:space="preserve">เดือนแรกที่เริ่มจ่ายตามแผน</t>
    </r>
  </si>
  <si>
    <t xml:space="preserve">เดือนที่</t>
  </si>
  <si>
    <t xml:space="preserve">ยอดหนี้รวมสิ้นเดือน</t>
  </si>
  <si>
    <r>
      <rPr>
        <b val="true"/>
        <sz val="11"/>
        <color rgb="FFFFFFFF"/>
        <rFont val="FreeSans"/>
        <family val="2"/>
      </rPr>
      <t xml:space="preserve">งบเหลือ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ไม่ใช้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</si>
  <si>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ดอกเบี้ยเดือนนี้</t>
  </si>
  <si>
    <t xml:space="preserve">จ่ายรวมเดือนนี้</t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</si>
  <si>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1 </t>
    </r>
    <r>
      <rPr>
        <b val="true"/>
        <sz val="11"/>
        <color rgb="FFFFFFFF"/>
        <rFont val="FreeSans"/>
        <family val="2"/>
      </rPr>
      <t xml:space="preserve">ยอดสิ้นเดือน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</si>
  <si>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1 </t>
    </r>
    <r>
      <rPr>
        <b val="true"/>
        <sz val="11"/>
        <color rgb="FFFFFFFF"/>
        <rFont val="FreeSans"/>
        <family val="2"/>
      </rPr>
      <t xml:space="preserve">ดอกเบี้ย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</si>
  <si>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1 </t>
    </r>
    <r>
      <rPr>
        <b val="true"/>
        <sz val="11"/>
        <color rgb="FFFFFFFF"/>
        <rFont val="FreeSans"/>
        <family val="2"/>
      </rPr>
      <t xml:space="preserve">จ่ายขั้นต่ำ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</si>
  <si>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1 </t>
    </r>
    <r>
      <rPr>
        <b val="true"/>
        <sz val="11"/>
        <color rgb="FFFFFFFF"/>
        <rFont val="FreeSans"/>
        <family val="2"/>
      </rPr>
      <t xml:space="preserve">จ่ายเพิ่ม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</si>
  <si>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2 </t>
    </r>
    <r>
      <rPr>
        <b val="true"/>
        <sz val="11"/>
        <color rgb="FFFFFFFF"/>
        <rFont val="FreeSans"/>
        <family val="2"/>
      </rPr>
      <t xml:space="preserve">ยอดสิ้นเดือน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</si>
  <si>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2 </t>
    </r>
    <r>
      <rPr>
        <b val="true"/>
        <sz val="11"/>
        <color rgb="FFFFFFFF"/>
        <rFont val="FreeSans"/>
        <family val="2"/>
      </rPr>
      <t xml:space="preserve">ดอกเบี้ย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</si>
  <si>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2 </t>
    </r>
    <r>
      <rPr>
        <b val="true"/>
        <sz val="11"/>
        <color rgb="FFFFFFFF"/>
        <rFont val="FreeSans"/>
        <family val="2"/>
      </rPr>
      <t xml:space="preserve">จ่ายขั้นต่ำ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</si>
  <si>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2 </t>
    </r>
    <r>
      <rPr>
        <b val="true"/>
        <sz val="11"/>
        <color rgb="FFFFFFFF"/>
        <rFont val="FreeSans"/>
        <family val="2"/>
      </rPr>
      <t xml:space="preserve">จ่ายเพิ่ม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</si>
  <si>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3 </t>
    </r>
    <r>
      <rPr>
        <b val="true"/>
        <sz val="11"/>
        <color rgb="FFFFFFFF"/>
        <rFont val="FreeSans"/>
        <family val="2"/>
      </rPr>
      <t xml:space="preserve">ยอดสิ้นเดือน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</si>
  <si>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3 </t>
    </r>
    <r>
      <rPr>
        <b val="true"/>
        <sz val="11"/>
        <color rgb="FFFFFFFF"/>
        <rFont val="FreeSans"/>
        <family val="2"/>
      </rPr>
      <t xml:space="preserve">ดอกเบี้ย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</si>
  <si>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3 </t>
    </r>
    <r>
      <rPr>
        <b val="true"/>
        <sz val="11"/>
        <color rgb="FFFFFFFF"/>
        <rFont val="FreeSans"/>
        <family val="2"/>
      </rPr>
      <t xml:space="preserve">จ่ายขั้นต่ำ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</si>
  <si>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3 </t>
    </r>
    <r>
      <rPr>
        <b val="true"/>
        <sz val="11"/>
        <color rgb="FFFFFFFF"/>
        <rFont val="FreeSans"/>
        <family val="2"/>
      </rPr>
      <t xml:space="preserve">จ่ายเพิ่ม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</si>
  <si>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4 </t>
    </r>
    <r>
      <rPr>
        <b val="true"/>
        <sz val="11"/>
        <color rgb="FFFFFFFF"/>
        <rFont val="FreeSans"/>
        <family val="2"/>
      </rPr>
      <t xml:space="preserve">ยอดสิ้นเดือน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</si>
  <si>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4 </t>
    </r>
    <r>
      <rPr>
        <b val="true"/>
        <sz val="11"/>
        <color rgb="FFFFFFFF"/>
        <rFont val="FreeSans"/>
        <family val="2"/>
      </rPr>
      <t xml:space="preserve">ดอกเบี้ย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</si>
  <si>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4 </t>
    </r>
    <r>
      <rPr>
        <b val="true"/>
        <sz val="11"/>
        <color rgb="FFFFFFFF"/>
        <rFont val="FreeSans"/>
        <family val="2"/>
      </rPr>
      <t xml:space="preserve">จ่ายขั้นต่ำ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</si>
  <si>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4 </t>
    </r>
    <r>
      <rPr>
        <b val="true"/>
        <sz val="11"/>
        <color rgb="FFFFFFFF"/>
        <rFont val="FreeSans"/>
        <family val="2"/>
      </rPr>
      <t xml:space="preserve">จ่ายเพิ่ม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</si>
  <si>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5 </t>
    </r>
    <r>
      <rPr>
        <b val="true"/>
        <sz val="11"/>
        <color rgb="FFFFFFFF"/>
        <rFont val="FreeSans"/>
        <family val="2"/>
      </rPr>
      <t xml:space="preserve">ยอดสิ้นเดือน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</si>
  <si>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5 </t>
    </r>
    <r>
      <rPr>
        <b val="true"/>
        <sz val="11"/>
        <color rgb="FFFFFFFF"/>
        <rFont val="FreeSans"/>
        <family val="2"/>
      </rPr>
      <t xml:space="preserve">ดอกเบี้ย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</si>
  <si>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5 </t>
    </r>
    <r>
      <rPr>
        <b val="true"/>
        <sz val="11"/>
        <color rgb="FFFFFFFF"/>
        <rFont val="FreeSans"/>
        <family val="2"/>
      </rPr>
      <t xml:space="preserve">จ่ายขั้นต่ำ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</si>
  <si>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5 </t>
    </r>
    <r>
      <rPr>
        <b val="true"/>
        <sz val="11"/>
        <color rgb="FFFFFFFF"/>
        <rFont val="FreeSans"/>
        <family val="2"/>
      </rPr>
      <t xml:space="preserve">จ่ายเพิ่ม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</si>
  <si>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6 </t>
    </r>
    <r>
      <rPr>
        <b val="true"/>
        <sz val="11"/>
        <color rgb="FFFFFFFF"/>
        <rFont val="FreeSans"/>
        <family val="2"/>
      </rPr>
      <t xml:space="preserve">ยอดสิ้นเดือน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</si>
  <si>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6 </t>
    </r>
    <r>
      <rPr>
        <b val="true"/>
        <sz val="11"/>
        <color rgb="FFFFFFFF"/>
        <rFont val="FreeSans"/>
        <family val="2"/>
      </rPr>
      <t xml:space="preserve">ดอกเบี้ย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</si>
  <si>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6 </t>
    </r>
    <r>
      <rPr>
        <b val="true"/>
        <sz val="11"/>
        <color rgb="FFFFFFFF"/>
        <rFont val="FreeSans"/>
        <family val="2"/>
      </rPr>
      <t xml:space="preserve">จ่ายขั้นต่ำ</t>
    </r>
  </si>
  <si>
    <r>
      <rPr>
        <b val="true"/>
        <sz val="11"/>
        <color rgb="FFFFFFFF"/>
        <rFont val="FreeSans"/>
        <family val="2"/>
      </rPr>
      <t xml:space="preserve">ก้อน </t>
    </r>
    <r>
      <rPr>
        <b val="true"/>
        <sz val="11"/>
        <color rgb="FFFFFFFF"/>
        <rFont val="Tahoma"/>
        <family val="0"/>
        <charset val="1"/>
      </rPr>
      <t xml:space="preserve">6 </t>
    </r>
    <r>
      <rPr>
        <b val="true"/>
        <sz val="11"/>
        <color rgb="FFFFFFFF"/>
        <rFont val="FreeSans"/>
        <family val="2"/>
      </rPr>
      <t xml:space="preserve">จ่ายเพิ่ม</t>
    </r>
  </si>
  <si>
    <t xml:space="preserve">เป้าหมายเก็บเงิน</t>
  </si>
  <si>
    <r>
      <rPr>
        <i val="true"/>
        <sz val="10"/>
        <color rgb="FF555555"/>
        <rFont val="FreeSans"/>
        <family val="2"/>
      </rPr>
      <t xml:space="preserve">ใส่เป้าหมายและระยะเวลา ไฟล์จะคำนวณว่าต้องเก็บเดือนละ</t>
    </r>
    <r>
      <rPr>
        <i val="true"/>
        <sz val="10"/>
        <color rgb="FF555555"/>
        <rFont val="Tahoma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สัปดาห์ละ</t>
    </r>
    <r>
      <rPr>
        <i val="true"/>
        <sz val="10"/>
        <color rgb="FF555555"/>
        <rFont val="Tahoma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วันละเท่าไหร่ </t>
    </r>
    <r>
      <rPr>
        <i val="true"/>
        <sz val="10"/>
        <color rgb="FF555555"/>
        <rFont val="Tahoma"/>
        <family val="0"/>
        <charset val="1"/>
      </rPr>
      <t xml:space="preserve">(</t>
    </r>
    <r>
      <rPr>
        <i val="true"/>
        <sz val="10"/>
        <color rgb="FF555555"/>
        <rFont val="FreeSans"/>
        <family val="2"/>
      </rPr>
      <t xml:space="preserve">ตัวอย่างในไฟล์</t>
    </r>
    <r>
      <rPr>
        <i val="true"/>
        <sz val="10"/>
        <color rgb="FF555555"/>
        <rFont val="Tahoma"/>
        <family val="0"/>
        <charset val="1"/>
      </rPr>
      <t xml:space="preserve">: 300,000 </t>
    </r>
    <r>
      <rPr>
        <i val="true"/>
        <sz val="10"/>
        <color rgb="FF555555"/>
        <rFont val="FreeSans"/>
        <family val="2"/>
      </rPr>
      <t xml:space="preserve">บาทใน </t>
    </r>
    <r>
      <rPr>
        <i val="true"/>
        <sz val="10"/>
        <color rgb="FF555555"/>
        <rFont val="Tahoma"/>
        <family val="0"/>
        <charset val="1"/>
      </rPr>
      <t xml:space="preserve">36 </t>
    </r>
    <r>
      <rPr>
        <i val="true"/>
        <sz val="10"/>
        <color rgb="FF555555"/>
        <rFont val="FreeSans"/>
        <family val="2"/>
      </rPr>
      <t xml:space="preserve">เดือน ลองเปลี่ยนเป็น </t>
    </r>
    <r>
      <rPr>
        <i val="true"/>
        <sz val="10"/>
        <color rgb="FF555555"/>
        <rFont val="Tahoma"/>
        <family val="0"/>
        <charset val="1"/>
      </rPr>
      <t xml:space="preserve">1,000,000 </t>
    </r>
    <r>
      <rPr>
        <i val="true"/>
        <sz val="10"/>
        <color rgb="FF555555"/>
        <rFont val="FreeSans"/>
        <family val="2"/>
      </rPr>
      <t xml:space="preserve">ดู จะได้ ≈ </t>
    </r>
    <r>
      <rPr>
        <i val="true"/>
        <sz val="10"/>
        <color rgb="FF555555"/>
        <rFont val="Tahoma"/>
        <family val="0"/>
        <charset val="1"/>
      </rPr>
      <t xml:space="preserve">913 </t>
    </r>
    <r>
      <rPr>
        <i val="true"/>
        <sz val="10"/>
        <color rgb="FF555555"/>
        <rFont val="FreeSans"/>
        <family val="2"/>
      </rPr>
      <t xml:space="preserve">บาท</t>
    </r>
    <r>
      <rPr>
        <i val="true"/>
        <sz val="10"/>
        <color rgb="FF555555"/>
        <rFont val="Tahoma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วัน</t>
    </r>
    <r>
      <rPr>
        <i val="true"/>
        <sz val="10"/>
        <color rgb="FF555555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</si>
  <si>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เป้าหมาย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บาท</t>
    </r>
    <r>
      <rPr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</si>
  <si>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ระยะเวลา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เดือน</t>
    </r>
    <r>
      <rPr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</si>
  <si>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มีเงินเก็บอยู่แล้ว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บาท</t>
    </r>
    <r>
      <rPr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</si>
  <si>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ผลตอบแทนต่อปีที่คาดหวัง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ใส่ </t>
    </r>
    <r>
      <rPr>
        <sz val="11"/>
        <rFont val="Tahoma"/>
        <family val="0"/>
        <charset val="1"/>
      </rPr>
      <t xml:space="preserve">0% </t>
    </r>
    <r>
      <rPr>
        <sz val="11"/>
        <rFont val="FreeSans"/>
        <family val="2"/>
      </rPr>
      <t xml:space="preserve">ถ้าไม่รวม</t>
    </r>
    <r>
      <rPr>
        <sz val="11"/>
        <rFont val="Tahoma"/>
        <family val="0"/>
        <charset val="1"/>
      </rPr>
      <t xml:space="preserve">)</t>
    </r>
  </si>
  <si>
    <r>
      <rPr>
        <i val="true"/>
        <sz val="10"/>
        <color rgb="FFC0392B"/>
        <rFont val="FreeSans"/>
        <family val="2"/>
      </rPr>
      <t xml:space="preserve">ผลตอบแทนเป็นสมมติฐานที่คุณกรอกเอง ไม่ได้รับประกัน ถ้าไม่แน่ใจให้ใช้ </t>
    </r>
    <r>
      <rPr>
        <i val="true"/>
        <sz val="10"/>
        <color rgb="FFC0392B"/>
        <rFont val="Tahoma"/>
        <family val="0"/>
        <charset val="1"/>
      </rPr>
      <t xml:space="preserve">0%</t>
    </r>
  </si>
  <si>
    <r>
      <rPr>
        <b val="true"/>
        <sz val="11"/>
        <rFont val="FreeSans"/>
        <family val="2"/>
      </rPr>
      <t xml:space="preserve">ต้องเก็บเดือนละ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บาท</t>
    </r>
    <r>
      <rPr>
        <b val="true"/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</si>
  <si>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ต้องเก็บสัปดาห์ละ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บาท</t>
    </r>
    <r>
      <rPr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</si>
  <si>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ต้องเก็บวันละ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บาท</t>
    </r>
    <r>
      <rPr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</si>
  <si>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งบเก็บเงินที่คุณแบ่งไว้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จากแท็บ งบรายเดือน</t>
    </r>
    <r>
      <rPr>
        <sz val="11"/>
        <rFont val="Tahoma"/>
        <family val="0"/>
        <charset val="1"/>
      </rPr>
      <t xml:space="preserve">)</t>
    </r>
  </si>
  <si>
    <t xml:space="preserve">ผล</t>
  </si>
  <si>
    <r>
      <rPr>
        <sz val="11"/>
        <rFont val="FreeSans"/>
        <family val="2"/>
      </rPr>
      <t xml:space="preserve">ถ้าเก็บตามงบที่แบ่งไว้ จะถึงเป้าในอีก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เดือน</t>
    </r>
    <r>
      <rPr>
        <sz val="11"/>
        <rFont val="Tahoma"/>
        <family val="0"/>
        <charset val="1"/>
      </rPr>
      <t xml:space="preserve">)</t>
    </r>
  </si>
  <si>
    <r>
      <rPr>
        <i val="true"/>
        <sz val="10"/>
        <color rgb="FF555555"/>
        <rFont val="FreeSans"/>
        <family val="2"/>
      </rPr>
      <t xml:space="preserve">วิธีคิด</t>
    </r>
    <r>
      <rPr>
        <i val="true"/>
        <sz val="10"/>
        <color rgb="FF555555"/>
        <rFont val="Tahoma"/>
        <family val="0"/>
        <charset val="1"/>
      </rPr>
      <t xml:space="preserve">: </t>
    </r>
    <r>
      <rPr>
        <i val="true"/>
        <sz val="10"/>
        <color rgb="FF555555"/>
        <rFont val="FreeSans"/>
        <family val="2"/>
      </rPr>
      <t xml:space="preserve">ไม่รวมผลตอบแทน </t>
    </r>
    <r>
      <rPr>
        <i val="true"/>
        <sz val="10"/>
        <color rgb="FF555555"/>
        <rFont val="Tahoma"/>
        <family val="0"/>
        <charset val="1"/>
      </rPr>
      <t xml:space="preserve">= (</t>
    </r>
    <r>
      <rPr>
        <i val="true"/>
        <sz val="10"/>
        <color rgb="FF555555"/>
        <rFont val="FreeSans"/>
        <family val="2"/>
      </rPr>
      <t xml:space="preserve">เป้าหมาย − เงินที่มี</t>
    </r>
    <r>
      <rPr>
        <i val="true"/>
        <sz val="10"/>
        <color rgb="FF555555"/>
        <rFont val="Tahoma"/>
        <family val="0"/>
        <charset val="1"/>
      </rPr>
      <t xml:space="preserve">) ÷ </t>
    </r>
    <r>
      <rPr>
        <i val="true"/>
        <sz val="10"/>
        <color rgb="FF555555"/>
        <rFont val="FreeSans"/>
        <family val="2"/>
      </rPr>
      <t xml:space="preserve">จำนวนเดือน </t>
    </r>
    <r>
      <rPr>
        <i val="true"/>
        <sz val="10"/>
        <color rgb="FF555555"/>
        <rFont val="Tahoma"/>
        <family val="0"/>
        <charset val="1"/>
      </rPr>
      <t xml:space="preserve">| </t>
    </r>
    <r>
      <rPr>
        <i val="true"/>
        <sz val="10"/>
        <color rgb="FF555555"/>
        <rFont val="FreeSans"/>
        <family val="2"/>
      </rPr>
      <t xml:space="preserve">รายวัน </t>
    </r>
    <r>
      <rPr>
        <i val="true"/>
        <sz val="10"/>
        <color rgb="FF555555"/>
        <rFont val="Tahoma"/>
        <family val="0"/>
        <charset val="1"/>
      </rPr>
      <t xml:space="preserve">= </t>
    </r>
    <r>
      <rPr>
        <i val="true"/>
        <sz val="10"/>
        <color rgb="FF555555"/>
        <rFont val="FreeSans"/>
        <family val="2"/>
      </rPr>
      <t xml:space="preserve">รายเดือน </t>
    </r>
    <r>
      <rPr>
        <i val="true"/>
        <sz val="10"/>
        <color rgb="FF555555"/>
        <rFont val="Tahoma"/>
        <family val="0"/>
        <charset val="1"/>
      </rPr>
      <t xml:space="preserve">× 12 ÷ 365 | </t>
    </r>
    <r>
      <rPr>
        <i val="true"/>
        <sz val="10"/>
        <color rgb="FF555555"/>
        <rFont val="FreeSans"/>
        <family val="2"/>
      </rPr>
      <t xml:space="preserve">ตัวเลขเป็นการประมาณ ไม่รวมภาษี</t>
    </r>
    <r>
      <rPr>
        <i val="true"/>
        <sz val="10"/>
        <color rgb="FF555555"/>
        <rFont val="Tahoma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เงินเฟ้อ</t>
    </r>
  </si>
  <si>
    <r>
      <rPr>
        <b val="true"/>
        <sz val="11"/>
        <color rgb="FFFFFFFF"/>
        <rFont val="FreeSans"/>
        <family val="2"/>
      </rPr>
      <t xml:space="preserve">ยอดสะสม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บาท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</si>
  <si>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Tahoma"/>
        <family val="0"/>
        <charset val="1"/>
      </rPr>
      <t xml:space="preserve">% </t>
    </r>
    <r>
      <rPr>
        <b val="true"/>
        <sz val="11"/>
        <color rgb="FFFFFFFF"/>
        <rFont val="FreeSans"/>
        <family val="2"/>
      </rPr>
      <t xml:space="preserve">ถึงเป้า</t>
    </r>
  </si>
  <si>
    <r>
      <rPr>
        <b val="true"/>
        <sz val="20"/>
        <color rgb="FFFFFFFF"/>
        <rFont val="FreeSans"/>
        <family val="2"/>
      </rPr>
      <t xml:space="preserve">คำสั่ง </t>
    </r>
    <r>
      <rPr>
        <b val="true"/>
        <sz val="20"/>
        <color rgb="FFFFFFFF"/>
        <rFont val="Tahoma"/>
        <family val="0"/>
        <charset val="1"/>
      </rPr>
      <t xml:space="preserve">AI </t>
    </r>
    <r>
      <rPr>
        <b val="true"/>
        <sz val="20"/>
        <color rgb="FFFFFFFF"/>
        <rFont val="FreeSans"/>
        <family val="2"/>
      </rPr>
      <t xml:space="preserve">ช่วยตรวจและปรับแผน</t>
    </r>
  </si>
  <si>
    <r>
      <rPr>
        <i val="true"/>
        <sz val="10"/>
        <color rgb="FF555555"/>
        <rFont val="FreeSans"/>
        <family val="2"/>
      </rPr>
      <t xml:space="preserve">คัดลอกข้อความในช่องไปวางใน </t>
    </r>
    <r>
      <rPr>
        <i val="true"/>
        <sz val="10"/>
        <color rgb="FF555555"/>
        <rFont val="Tahoma"/>
        <family val="0"/>
        <charset val="1"/>
      </rPr>
      <t xml:space="preserve">ChatGPT / Claude </t>
    </r>
    <r>
      <rPr>
        <i val="true"/>
        <sz val="10"/>
        <color rgb="FF555555"/>
        <rFont val="FreeSans"/>
        <family val="2"/>
      </rPr>
      <t xml:space="preserve">แก้ข้อความใน </t>
    </r>
    <r>
      <rPr>
        <i val="true"/>
        <sz val="10"/>
        <color rgb="FF555555"/>
        <rFont val="Tahoma"/>
        <family val="0"/>
        <charset val="1"/>
      </rPr>
      <t xml:space="preserve">[ ] </t>
    </r>
    <r>
      <rPr>
        <i val="true"/>
        <sz val="10"/>
        <color rgb="FF555555"/>
        <rFont val="FreeSans"/>
        <family val="2"/>
      </rPr>
      <t xml:space="preserve">ก่อนส่ง ห้ามใส่เลขบัญชีหรือรหัสผ่าน ให้ </t>
    </r>
    <r>
      <rPr>
        <i val="true"/>
        <sz val="10"/>
        <color rgb="FF555555"/>
        <rFont val="Tahoma"/>
        <family val="0"/>
        <charset val="1"/>
      </rPr>
      <t xml:space="preserve">AI </t>
    </r>
    <r>
      <rPr>
        <i val="true"/>
        <sz val="10"/>
        <color rgb="FF555555"/>
        <rFont val="FreeSans"/>
        <family val="2"/>
      </rPr>
      <t xml:space="preserve">ตรวจตัวเลขแล้วตรวจซ้ำเองด้วย</t>
    </r>
  </si>
  <si>
    <t xml:space="preserve">หัวข้อ</t>
  </si>
  <si>
    <r>
      <rPr>
        <b val="true"/>
        <sz val="11"/>
        <color rgb="FFFFFFFF"/>
        <rFont val="FreeSans"/>
        <family val="2"/>
      </rPr>
      <t xml:space="preserve">คำสั่ง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คัดลอกทั้งช่อง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</si>
  <si>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rFont val="Tahoma"/>
        <family val="0"/>
        <charset val="1"/>
      </rPr>
      <t xml:space="preserve">1. </t>
    </r>
    <r>
      <rPr>
        <b val="true"/>
        <sz val="11"/>
        <rFont val="FreeSans"/>
        <family val="2"/>
      </rPr>
      <t xml:space="preserve">ตารางเก็บเงินตามเป้าหมาย</t>
    </r>
  </si>
  <si>
    <r>
      <rPr>
        <sz val="11"/>
        <rFont val="FreeSans"/>
        <family val="2"/>
      </rPr>
      <t xml:space="preserve">คุณคือผู้ช่วยวางแผนการเงินส่วนบุคคล ฉันอยากเก็บเงิน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จำนวนเงิน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บาท ภายใน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ระยะเวลา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รายได้ต่อเดือน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รายได้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บาท รายจ่ายประจำ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รายจ่าย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บาท ช่วยคำนวณว่าต้องเก็บเดือนละกี่บาท และทำตารางรายเดือน</t>
    </r>
    <r>
      <rPr>
        <sz val="11"/>
        <rFont val="Tahoma"/>
        <family val="0"/>
        <charset val="1"/>
      </rPr>
      <t xml:space="preserve">: </t>
    </r>
    <r>
      <rPr>
        <sz val="11"/>
        <rFont val="FreeSans"/>
        <family val="2"/>
      </rPr>
      <t xml:space="preserve">เดือนที่ </t>
    </r>
    <r>
      <rPr>
        <sz val="11"/>
        <rFont val="Tahoma"/>
        <family val="0"/>
        <charset val="1"/>
      </rPr>
      <t xml:space="preserve">| </t>
    </r>
    <r>
      <rPr>
        <sz val="11"/>
        <rFont val="FreeSans"/>
        <family val="2"/>
      </rPr>
      <t xml:space="preserve">ยอดที่เก็บ </t>
    </r>
    <r>
      <rPr>
        <sz val="11"/>
        <rFont val="Tahoma"/>
        <family val="0"/>
        <charset val="1"/>
      </rPr>
      <t xml:space="preserve">| </t>
    </r>
    <r>
      <rPr>
        <sz val="11"/>
        <rFont val="FreeSans"/>
        <family val="2"/>
      </rPr>
      <t xml:space="preserve">ยอดสะสม </t>
    </r>
    <r>
      <rPr>
        <sz val="11"/>
        <rFont val="Tahoma"/>
        <family val="0"/>
        <charset val="1"/>
      </rPr>
      <t xml:space="preserve">| % </t>
    </r>
    <r>
      <rPr>
        <sz val="11"/>
        <rFont val="FreeSans"/>
        <family val="2"/>
      </rPr>
      <t xml:space="preserve">ถึงเป้า แสดงวิธีคิดทุกขั้นตอน และระบุว่าไม่ได้รวมดอกเบี้ยและเงินเฟ้อ</t>
    </r>
  </si>
  <si>
    <r>
      <rPr>
        <b val="true"/>
        <sz val="11"/>
        <rFont val="Tahoma"/>
        <family val="0"/>
        <charset val="1"/>
      </rPr>
      <t xml:space="preserve">2. </t>
    </r>
    <r>
      <rPr>
        <b val="true"/>
        <sz val="11"/>
        <rFont val="FreeSans"/>
        <family val="2"/>
      </rPr>
      <t xml:space="preserve">เช็กว่าเป้าหมายเป็นไปได้ไหม</t>
    </r>
  </si>
  <si>
    <r>
      <rPr>
        <sz val="11"/>
        <rFont val="FreeSans"/>
        <family val="2"/>
      </rPr>
      <t xml:space="preserve">จากรายได้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รายได้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และรายจ่าย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รายจ่าย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ต่อเดือน เป้าหมายเก็บ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จำนวนเงิน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ใน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ระยะเวลา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เป็นไปได้จริงไหม ถ้าไม่ได้ ช่วยเสนอ </t>
    </r>
    <r>
      <rPr>
        <sz val="11"/>
        <rFont val="Tahoma"/>
        <family val="0"/>
        <charset val="1"/>
      </rPr>
      <t xml:space="preserve">3 </t>
    </r>
    <r>
      <rPr>
        <sz val="11"/>
        <rFont val="FreeSans"/>
        <family val="2"/>
      </rPr>
      <t xml:space="preserve">ทางเลือก</t>
    </r>
    <r>
      <rPr>
        <sz val="11"/>
        <rFont val="Tahoma"/>
        <family val="0"/>
        <charset val="1"/>
      </rPr>
      <t xml:space="preserve">: </t>
    </r>
    <r>
      <rPr>
        <sz val="11"/>
        <rFont val="FreeSans"/>
        <family val="2"/>
      </rPr>
      <t xml:space="preserve">ขยายเวลา ลดเป้า หรือหารายได้เพิ่ม พร้อมตัวเลขของแต่ละทาง</t>
    </r>
  </si>
  <si>
    <r>
      <rPr>
        <b val="true"/>
        <sz val="11"/>
        <rFont val="Tahoma"/>
        <family val="0"/>
        <charset val="1"/>
      </rPr>
      <t xml:space="preserve">3. </t>
    </r>
    <r>
      <rPr>
        <b val="true"/>
        <sz val="11"/>
        <rFont val="FreeSans"/>
        <family val="2"/>
      </rPr>
      <t xml:space="preserve">หาจุดรั่วในรายจ่าย</t>
    </r>
  </si>
  <si>
    <r>
      <rPr>
        <sz val="11"/>
        <rFont val="FreeSans"/>
        <family val="2"/>
      </rPr>
      <t xml:space="preserve">นี่คือรายจ่ายของฉันเดือนที่แล้ว</t>
    </r>
    <r>
      <rPr>
        <sz val="11"/>
        <rFont val="Tahoma"/>
        <family val="0"/>
        <charset val="1"/>
      </rPr>
      <t xml:space="preserve">: [</t>
    </r>
    <r>
      <rPr>
        <sz val="11"/>
        <rFont val="FreeSans"/>
        <family val="2"/>
      </rPr>
      <t xml:space="preserve">วางรายการ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จัดหมวด จำเป็น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ควรมี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ฟุ่มเฟือย แล้วชี้ </t>
    </r>
    <r>
      <rPr>
        <sz val="11"/>
        <rFont val="Tahoma"/>
        <family val="0"/>
        <charset val="1"/>
      </rPr>
      <t xml:space="preserve">3 </t>
    </r>
    <r>
      <rPr>
        <sz val="11"/>
        <rFont val="FreeSans"/>
        <family val="2"/>
      </rPr>
      <t xml:space="preserve">รายการที่ลดได้มากสุด บอกตัวเลขที่ประหยัดได้ต่อเดือนและต่อปี อย่าตัดสินหรือตำหนิ</t>
    </r>
  </si>
  <si>
    <r>
      <rPr>
        <b val="true"/>
        <sz val="11"/>
        <rFont val="Tahoma"/>
        <family val="0"/>
        <charset val="1"/>
      </rPr>
      <t xml:space="preserve">4. </t>
    </r>
    <r>
      <rPr>
        <b val="true"/>
        <sz val="11"/>
        <rFont val="FreeSans"/>
        <family val="2"/>
      </rPr>
      <t xml:space="preserve">จัดลำดับปลดหนี้</t>
    </r>
  </si>
  <si>
    <r>
      <rPr>
        <sz val="11"/>
        <rFont val="FreeSans"/>
        <family val="2"/>
      </rPr>
      <t xml:space="preserve">ฉันมีหนี้ดังนี้</t>
    </r>
    <r>
      <rPr>
        <sz val="11"/>
        <rFont val="Tahoma"/>
        <family val="0"/>
        <charset val="1"/>
      </rPr>
      <t xml:space="preserve">: [</t>
    </r>
    <r>
      <rPr>
        <sz val="11"/>
        <rFont val="FreeSans"/>
        <family val="2"/>
      </rPr>
      <t xml:space="preserve">ชื่อหนี้ </t>
    </r>
    <r>
      <rPr>
        <sz val="11"/>
        <rFont val="Tahoma"/>
        <family val="0"/>
        <charset val="1"/>
      </rPr>
      <t xml:space="preserve">| </t>
    </r>
    <r>
      <rPr>
        <sz val="11"/>
        <rFont val="FreeSans"/>
        <family val="2"/>
      </rPr>
      <t xml:space="preserve">ยอดคงเหลือ </t>
    </r>
    <r>
      <rPr>
        <sz val="11"/>
        <rFont val="Tahoma"/>
        <family val="0"/>
        <charset val="1"/>
      </rPr>
      <t xml:space="preserve">| </t>
    </r>
    <r>
      <rPr>
        <sz val="11"/>
        <rFont val="FreeSans"/>
        <family val="2"/>
      </rPr>
      <t xml:space="preserve">ดอกเบี้ยต่อปี </t>
    </r>
    <r>
      <rPr>
        <sz val="11"/>
        <rFont val="Tahoma"/>
        <family val="0"/>
        <charset val="1"/>
      </rPr>
      <t xml:space="preserve">| </t>
    </r>
    <r>
      <rPr>
        <sz val="11"/>
        <rFont val="FreeSans"/>
        <family val="2"/>
      </rPr>
      <t xml:space="preserve">ค่างวดขั้นต่ำ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และมีเงินเพิ่มปลดหนี้ได้เดือนละ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จำนวน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บาท เปรียบเทียบวิธี </t>
    </r>
    <r>
      <rPr>
        <sz val="11"/>
        <rFont val="Tahoma"/>
        <family val="0"/>
        <charset val="1"/>
      </rPr>
      <t xml:space="preserve">"</t>
    </r>
    <r>
      <rPr>
        <sz val="11"/>
        <rFont val="FreeSans"/>
        <family val="2"/>
      </rPr>
      <t xml:space="preserve">ดอกเบี้ยสูงสุดก่อน</t>
    </r>
    <r>
      <rPr>
        <sz val="11"/>
        <rFont val="Tahoma"/>
        <family val="0"/>
        <charset val="1"/>
      </rPr>
      <t xml:space="preserve">" </t>
    </r>
    <r>
      <rPr>
        <sz val="11"/>
        <rFont val="FreeSans"/>
        <family val="2"/>
      </rPr>
      <t xml:space="preserve">กับ </t>
    </r>
    <r>
      <rPr>
        <sz val="11"/>
        <rFont val="Tahoma"/>
        <family val="0"/>
        <charset val="1"/>
      </rPr>
      <t xml:space="preserve">"</t>
    </r>
    <r>
      <rPr>
        <sz val="11"/>
        <rFont val="FreeSans"/>
        <family val="2"/>
      </rPr>
      <t xml:space="preserve">ยอดน้อยสุดก่อน</t>
    </r>
    <r>
      <rPr>
        <sz val="11"/>
        <rFont val="Tahoma"/>
        <family val="0"/>
        <charset val="1"/>
      </rPr>
      <t xml:space="preserve">" </t>
    </r>
    <r>
      <rPr>
        <sz val="11"/>
        <rFont val="FreeSans"/>
        <family val="2"/>
      </rPr>
      <t xml:space="preserve">ว่าแต่ละวิธีหมดหนี้กี่เดือนและจ่ายดอกเบี้ยรวมเท่าไหร่ แสดงวิธีคิด</t>
    </r>
  </si>
  <si>
    <r>
      <rPr>
        <b val="true"/>
        <sz val="11"/>
        <rFont val="Tahoma"/>
        <family val="0"/>
        <charset val="1"/>
      </rPr>
      <t xml:space="preserve">5. </t>
    </r>
    <r>
      <rPr>
        <b val="true"/>
        <sz val="11"/>
        <rFont val="FreeSans"/>
        <family val="2"/>
      </rPr>
      <t xml:space="preserve">ตรวจตัวเลขของ </t>
    </r>
    <r>
      <rPr>
        <b val="true"/>
        <sz val="11"/>
        <rFont val="Tahoma"/>
        <family val="0"/>
        <charset val="1"/>
      </rPr>
      <t xml:space="preserve">AI</t>
    </r>
  </si>
  <si>
    <r>
      <rPr>
        <sz val="11"/>
        <rFont val="FreeSans"/>
        <family val="2"/>
      </rPr>
      <t xml:space="preserve">ตรวจแผนที่คุณเพิ่งทำให้ฉัน</t>
    </r>
    <r>
      <rPr>
        <sz val="11"/>
        <rFont val="Tahoma"/>
        <family val="0"/>
        <charset val="1"/>
      </rPr>
      <t xml:space="preserve">: </t>
    </r>
    <r>
      <rPr>
        <sz val="11"/>
        <rFont val="FreeSans"/>
        <family val="2"/>
      </rPr>
      <t xml:space="preserve">คำนวณใหม่ทีละขั้น บอกสมมติฐานที่ใช้ ชี้จุดที่อาจผิดหรือต้องตรวจเอง และถ้าไม่แน่ใจให้บอกว่าไม่แน่ใจ</t>
    </r>
  </si>
  <si>
    <r>
      <rPr>
        <b val="true"/>
        <sz val="11"/>
        <rFont val="Tahoma"/>
        <family val="0"/>
        <charset val="1"/>
      </rPr>
      <t xml:space="preserve">6. </t>
    </r>
    <r>
      <rPr>
        <b val="true"/>
        <sz val="11"/>
        <rFont val="FreeSans"/>
        <family val="2"/>
      </rPr>
      <t xml:space="preserve">แผนเก็บเงินแบบวันละนิด</t>
    </r>
  </si>
  <si>
    <r>
      <rPr>
        <sz val="11"/>
        <rFont val="FreeSans"/>
        <family val="2"/>
      </rPr>
      <t xml:space="preserve">ฉันอยากเก็บเงิน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จำนวนเงิน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ใน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ระยะเวลา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ช่วยแปลงเป็นเป้ารายวันและรายสัปดาห์ เสนอกฎง่ายๆ </t>
    </r>
    <r>
      <rPr>
        <sz val="11"/>
        <rFont val="Tahoma"/>
        <family val="0"/>
        <charset val="1"/>
      </rPr>
      <t xml:space="preserve">3 </t>
    </r>
    <r>
      <rPr>
        <sz val="11"/>
        <rFont val="FreeSans"/>
        <family val="2"/>
      </rPr>
      <t xml:space="preserve">ข้อที่ทำตามได้จริง เช่น เก็บทันทีที่เงินเข้า</t>
    </r>
  </si>
  <si>
    <r>
      <rPr>
        <b val="true"/>
        <sz val="11"/>
        <rFont val="Tahoma"/>
        <family val="0"/>
        <charset val="1"/>
      </rPr>
      <t xml:space="preserve">7. </t>
    </r>
    <r>
      <rPr>
        <b val="true"/>
        <sz val="11"/>
        <rFont val="FreeSans"/>
        <family val="2"/>
      </rPr>
      <t xml:space="preserve">เตรียมคุยกับเจ้าหนี้</t>
    </r>
  </si>
  <si>
    <r>
      <rPr>
        <sz val="11"/>
        <rFont val="FreeSans"/>
        <family val="2"/>
      </rPr>
      <t xml:space="preserve">ฉันผ่อนหนี้ </t>
    </r>
    <r>
      <rPr>
        <sz val="11"/>
        <rFont val="Tahoma"/>
        <family val="0"/>
        <charset val="1"/>
      </rPr>
      <t xml:space="preserve">[</t>
    </r>
    <r>
      <rPr>
        <sz val="11"/>
        <rFont val="FreeSans"/>
        <family val="2"/>
      </rPr>
      <t xml:space="preserve">ประเภท</t>
    </r>
    <r>
      <rPr>
        <sz val="11"/>
        <rFont val="Tahoma"/>
        <family val="0"/>
        <charset val="1"/>
      </rPr>
      <t xml:space="preserve">] </t>
    </r>
    <r>
      <rPr>
        <sz val="11"/>
        <rFont val="FreeSans"/>
        <family val="2"/>
      </rPr>
      <t xml:space="preserve">ไม่ไหว อยากขอปรับโครงสร้างหนี้หรือขอลดค่างวด ช่วยร่างข้อความสุภาพถึงเจ้าหนี้ และรายการเอกสารที่ควรเตรียม โดยไม่สัญญาในสิ่งที่ฉันจ่ายไม่ได้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</si>
</sst>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"/>
    <numFmt numFmtId="167" formatCode="0"/>
    <numFmt numFmtId="168" formatCode="mmm\ yyyy"/>
    <numFmt numFmtId="169" formatCode="#,##0.00;\(#,##0.00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FreeSans"/>
      <family val="2"/>
    </font>
    <font>
      <b val="true"/>
      <sz val="20"/>
      <color rgb="FFFFFFFF"/>
      <name val="Tahoma"/>
      <family val="0"/>
      <charset val="1"/>
    </font>
    <font>
      <i val="true"/>
      <sz val="10"/>
      <color rgb="FF555555"/>
      <name val="FreeSans"/>
      <family val="2"/>
    </font>
    <font>
      <b val="true"/>
      <sz val="13"/>
      <color rgb="FF1F3A5F"/>
      <name val="FreeSans"/>
      <family val="2"/>
    </font>
    <font>
      <b val="true"/>
      <sz val="13"/>
      <color rgb="FF1F3A5F"/>
      <name val="Tahoma"/>
      <family val="0"/>
      <charset val="1"/>
    </font>
    <font>
      <sz val="11"/>
      <name val="Tahoma"/>
      <family val="0"/>
      <charset val="1"/>
    </font>
    <font>
      <sz val="11"/>
      <name val="FreeSans"/>
      <family val="2"/>
    </font>
    <font>
      <sz val="10"/>
      <color rgb="FF777777"/>
      <name val="Tahoma"/>
      <family val="0"/>
      <charset val="1"/>
    </font>
    <font>
      <sz val="10"/>
      <color rgb="FF777777"/>
      <name val="FreeSans"/>
      <family val="2"/>
    </font>
    <font>
      <i val="true"/>
      <sz val="10"/>
      <color rgb="FF555555"/>
      <name val="Tahoma"/>
      <family val="0"/>
      <charset val="1"/>
    </font>
    <font>
      <b val="true"/>
      <sz val="11"/>
      <color rgb="FFFFFFFF"/>
      <name val="FreeSans"/>
      <family val="2"/>
    </font>
    <font>
      <b val="true"/>
      <sz val="11"/>
      <color rgb="FFFFFFFF"/>
      <name val="Tahoma"/>
      <family val="0"/>
      <charset val="1"/>
    </font>
    <font>
      <sz val="11"/>
      <color rgb="FF0000FF"/>
      <name val="Tahoma"/>
      <family val="0"/>
      <charset val="1"/>
    </font>
    <font>
      <b val="true"/>
      <sz val="11"/>
      <name val="FreeSans"/>
      <family val="2"/>
    </font>
    <font>
      <b val="true"/>
      <sz val="11"/>
      <name val="Tahoma"/>
      <family val="0"/>
      <charset val="1"/>
    </font>
    <font>
      <sz val="11"/>
      <color rgb="FF0000FF"/>
      <name val="FreeSans"/>
      <family val="2"/>
    </font>
    <font>
      <sz val="11"/>
      <color rgb="FF008000"/>
      <name val="Tahoma"/>
      <family val="0"/>
      <charset val="1"/>
    </font>
    <font>
      <i val="true"/>
      <sz val="10"/>
      <color rgb="FFC0392B"/>
      <name val="FreeSans"/>
      <family val="2"/>
    </font>
    <font>
      <sz val="9"/>
      <color rgb="FF999999"/>
      <name val="Tahoma"/>
      <family val="0"/>
      <charset val="1"/>
    </font>
    <font>
      <sz val="9"/>
      <color rgb="FF999999"/>
      <name val="FreeSans"/>
      <family val="2"/>
    </font>
    <font>
      <i val="true"/>
      <sz val="10"/>
      <color rgb="FFC0392B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54"/>
        <bgColor rgb="FF008080"/>
      </patternFill>
    </fill>
    <fill>
      <patternFill patternType="solid">
        <fgColor rgb="FFFFF2A8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Tahoma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4"/>
      <rgbColor rgb="FFBBBBBB"/>
      <rgbColor rgb="FF777777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A5F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6.4" hidden="false" customHeight="false" outlineLevel="0" collapsed="false">
      <c r="B4" s="3" t="s">
        <v>2</v>
      </c>
    </row>
    <row r="5" customFormat="false" ht="31.5" hidden="false" customHeight="true" outlineLevel="0" collapsed="false">
      <c r="B5" s="4" t="s">
        <v>3</v>
      </c>
    </row>
    <row r="6" customFormat="false" ht="31.5" hidden="false" customHeight="tru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31.5" hidden="false" customHeight="true" outlineLevel="0" collapsed="false">
      <c r="B8" s="4" t="s">
        <v>6</v>
      </c>
    </row>
    <row r="9" customFormat="false" ht="15" hidden="false" customHeight="false" outlineLevel="0" collapsed="false">
      <c r="B9" s="4"/>
    </row>
    <row r="10" customFormat="false" ht="16.15" hidden="false" customHeight="false" outlineLevel="0" collapsed="false">
      <c r="B10" s="3" t="s">
        <v>7</v>
      </c>
    </row>
    <row r="11" customFormat="false" ht="31.5" hidden="false" customHeight="true" outlineLevel="0" collapsed="false">
      <c r="B11" s="5" t="s">
        <v>8</v>
      </c>
    </row>
    <row r="12" customFormat="false" ht="15" hidden="false" customHeight="false" outlineLevel="0" collapsed="false">
      <c r="B12" s="4"/>
    </row>
    <row r="13" customFormat="false" ht="16.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5" t="s">
        <v>10</v>
      </c>
    </row>
    <row r="15" customFormat="false" ht="31.5" hidden="false" customHeight="true" outlineLevel="0" collapsed="false">
      <c r="B15" s="5" t="s">
        <v>11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5" t="s">
        <v>13</v>
      </c>
    </row>
    <row r="18" customFormat="false" ht="15" hidden="false" customHeight="false" outlineLevel="0" collapsed="false">
      <c r="B18" s="5" t="s">
        <v>14</v>
      </c>
    </row>
    <row r="19" customFormat="false" ht="15" hidden="false" customHeight="false" outlineLevel="0" collapsed="false">
      <c r="B19" s="4"/>
    </row>
    <row r="20" customFormat="false" ht="15" hidden="false" customHeight="false" outlineLevel="0" collapsed="false">
      <c r="B20" s="6" t="s">
        <v>15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40"/>
    <col collapsed="false" customWidth="true" hidden="false" outlineLevel="0" max="5" min="5" style="0" width="4"/>
  </cols>
  <sheetData>
    <row r="1" customFormat="false" ht="33.75" hidden="false" customHeight="true" outlineLevel="0" collapsed="false">
      <c r="A1" s="1" t="s">
        <v>16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17</v>
      </c>
      <c r="B2" s="2"/>
      <c r="C2" s="2"/>
      <c r="D2" s="2"/>
      <c r="E2" s="2"/>
    </row>
    <row r="4" customFormat="false" ht="15" hidden="false" customHeight="false" outlineLevel="0" collapsed="false">
      <c r="A4" s="7" t="s">
        <v>18</v>
      </c>
      <c r="B4" s="7" t="s">
        <v>19</v>
      </c>
      <c r="C4" s="7"/>
      <c r="D4" s="7"/>
    </row>
    <row r="5" customFormat="false" ht="15" hidden="false" customHeight="false" outlineLevel="0" collapsed="false">
      <c r="A5" s="8" t="s">
        <v>20</v>
      </c>
      <c r="B5" s="9" t="n">
        <v>45000</v>
      </c>
    </row>
    <row r="6" customFormat="false" ht="15" hidden="false" customHeight="false" outlineLevel="0" collapsed="false">
      <c r="A6" s="8" t="s">
        <v>21</v>
      </c>
      <c r="B6" s="9" t="n">
        <v>3000</v>
      </c>
    </row>
    <row r="7" customFormat="false" ht="15" hidden="false" customHeight="false" outlineLevel="0" collapsed="false">
      <c r="A7" s="8" t="s">
        <v>22</v>
      </c>
      <c r="B7" s="9" t="n">
        <v>0</v>
      </c>
    </row>
    <row r="8" customFormat="false" ht="15" hidden="false" customHeight="false" outlineLevel="0" collapsed="false">
      <c r="A8" s="10" t="s">
        <v>23</v>
      </c>
      <c r="B8" s="11" t="n">
        <f aca="false">SUM(B5:B7)</f>
        <v>48000</v>
      </c>
    </row>
    <row r="10" customFormat="false" ht="15" hidden="false" customHeight="false" outlineLevel="0" collapsed="false">
      <c r="A10" s="7" t="s">
        <v>24</v>
      </c>
      <c r="B10" s="7" t="s">
        <v>19</v>
      </c>
      <c r="C10" s="7" t="s">
        <v>25</v>
      </c>
      <c r="D10" s="7" t="s">
        <v>26</v>
      </c>
    </row>
    <row r="11" customFormat="false" ht="15" hidden="false" customHeight="false" outlineLevel="0" collapsed="false">
      <c r="A11" s="8" t="s">
        <v>27</v>
      </c>
      <c r="B11" s="9" t="n">
        <v>8000</v>
      </c>
      <c r="C11" s="12" t="s">
        <v>28</v>
      </c>
      <c r="D11" s="13"/>
    </row>
    <row r="12" customFormat="false" ht="15" hidden="false" customHeight="false" outlineLevel="0" collapsed="false">
      <c r="A12" s="8" t="s">
        <v>29</v>
      </c>
      <c r="B12" s="9" t="n">
        <v>6000</v>
      </c>
      <c r="C12" s="12" t="s">
        <v>28</v>
      </c>
      <c r="D12" s="13"/>
    </row>
    <row r="13" customFormat="false" ht="15" hidden="false" customHeight="false" outlineLevel="0" collapsed="false">
      <c r="A13" s="8" t="s">
        <v>30</v>
      </c>
      <c r="B13" s="9" t="n">
        <v>2500</v>
      </c>
      <c r="C13" s="12" t="s">
        <v>28</v>
      </c>
      <c r="D13" s="13"/>
    </row>
    <row r="14" customFormat="false" ht="15" hidden="false" customHeight="false" outlineLevel="0" collapsed="false">
      <c r="A14" s="8" t="s">
        <v>31</v>
      </c>
      <c r="B14" s="9" t="n">
        <v>2200</v>
      </c>
      <c r="C14" s="12" t="s">
        <v>28</v>
      </c>
      <c r="D14" s="13"/>
    </row>
    <row r="15" customFormat="false" ht="15" hidden="false" customHeight="false" outlineLevel="0" collapsed="false">
      <c r="A15" s="8" t="s">
        <v>32</v>
      </c>
      <c r="B15" s="9" t="n">
        <v>1000</v>
      </c>
      <c r="C15" s="12" t="s">
        <v>28</v>
      </c>
      <c r="D15" s="13"/>
    </row>
    <row r="16" customFormat="false" ht="15" hidden="false" customHeight="false" outlineLevel="0" collapsed="false">
      <c r="A16" s="8" t="s">
        <v>33</v>
      </c>
      <c r="B16" s="9" t="n">
        <v>2500</v>
      </c>
      <c r="C16" s="12" t="s">
        <v>34</v>
      </c>
      <c r="D16" s="13"/>
    </row>
    <row r="17" customFormat="false" ht="15" hidden="false" customHeight="false" outlineLevel="0" collapsed="false">
      <c r="A17" s="8" t="s">
        <v>35</v>
      </c>
      <c r="B17" s="9" t="n">
        <v>1500</v>
      </c>
      <c r="C17" s="12" t="s">
        <v>34</v>
      </c>
      <c r="D17" s="13"/>
    </row>
    <row r="18" customFormat="false" ht="15" hidden="false" customHeight="false" outlineLevel="0" collapsed="false">
      <c r="A18" s="8" t="s">
        <v>36</v>
      </c>
      <c r="B18" s="9" t="n">
        <v>400</v>
      </c>
      <c r="C18" s="12" t="s">
        <v>34</v>
      </c>
      <c r="D18" s="13"/>
    </row>
    <row r="19" customFormat="false" ht="15" hidden="false" customHeight="false" outlineLevel="0" collapsed="false">
      <c r="A19" s="8" t="s">
        <v>37</v>
      </c>
      <c r="B19" s="9" t="n">
        <v>1000</v>
      </c>
      <c r="C19" s="12" t="s">
        <v>34</v>
      </c>
      <c r="D19" s="13"/>
    </row>
    <row r="20" customFormat="false" ht="15" hidden="false" customHeight="false" outlineLevel="0" collapsed="false">
      <c r="A20" s="8" t="s">
        <v>38</v>
      </c>
      <c r="B20" s="14" t="n">
        <f aca="false">SUM(ปลดหนี้!D6:D11)</f>
        <v>6550</v>
      </c>
      <c r="C20" s="15" t="s">
        <v>28</v>
      </c>
    </row>
    <row r="21" customFormat="false" ht="15" hidden="false" customHeight="false" outlineLevel="0" collapsed="false">
      <c r="A21" s="10" t="s">
        <v>39</v>
      </c>
      <c r="B21" s="11" t="n">
        <f aca="false">SUM(B11:B20)</f>
        <v>31650</v>
      </c>
    </row>
    <row r="23" customFormat="false" ht="15" hidden="false" customHeight="false" outlineLevel="0" collapsed="false">
      <c r="A23" s="10" t="s">
        <v>40</v>
      </c>
      <c r="B23" s="11" t="n">
        <f aca="false">B8-B21</f>
        <v>16350</v>
      </c>
      <c r="D23" s="16" t="s">
        <v>41</v>
      </c>
    </row>
    <row r="25" customFormat="false" ht="15" hidden="false" customHeight="false" outlineLevel="0" collapsed="false">
      <c r="A25" s="7" t="s">
        <v>42</v>
      </c>
      <c r="B25" s="7" t="s">
        <v>19</v>
      </c>
      <c r="C25" s="7"/>
      <c r="D25" s="7"/>
    </row>
    <row r="26" customFormat="false" ht="15" hidden="false" customHeight="false" outlineLevel="0" collapsed="false">
      <c r="A26" s="8" t="s">
        <v>43</v>
      </c>
      <c r="B26" s="9" t="n">
        <v>1500</v>
      </c>
    </row>
    <row r="27" customFormat="false" ht="15" hidden="false" customHeight="false" outlineLevel="0" collapsed="false">
      <c r="A27" s="8" t="s">
        <v>44</v>
      </c>
      <c r="B27" s="9" t="n">
        <v>8000</v>
      </c>
    </row>
    <row r="28" customFormat="false" ht="15" hidden="false" customHeight="false" outlineLevel="0" collapsed="false">
      <c r="A28" s="10" t="s">
        <v>45</v>
      </c>
      <c r="B28" s="11" t="n">
        <f aca="false">B23-B26-B27</f>
        <v>6850</v>
      </c>
      <c r="D28" s="17" t="str">
        <f aca="false">IF(B28&lt;0,"แบ่งเกินกว่าที่มี ลดช่องสีเหลืองด้านบน","โอเค")</f>
        <v>โอเค</v>
      </c>
    </row>
    <row r="30" customFormat="false" ht="15" hidden="false" customHeight="false" outlineLevel="0" collapsed="false">
      <c r="A30" s="7" t="s">
        <v>46</v>
      </c>
      <c r="B30" s="7" t="s">
        <v>47</v>
      </c>
      <c r="C30" s="18" t="s">
        <v>48</v>
      </c>
      <c r="D30" s="7"/>
    </row>
    <row r="31" customFormat="false" ht="15" hidden="false" customHeight="false" outlineLevel="0" collapsed="false">
      <c r="A31" s="8" t="s">
        <v>49</v>
      </c>
      <c r="B31" s="19" t="n">
        <f aca="false">SUMIF(C11:C20,"จำเป็น",B11:B20)</f>
        <v>26250</v>
      </c>
      <c r="C31" s="20" t="n">
        <f aca="false">IF($B$8=0,0,B31/$B$8)</f>
        <v>0.546875</v>
      </c>
    </row>
    <row r="32" customFormat="false" ht="15" hidden="false" customHeight="false" outlineLevel="0" collapsed="false">
      <c r="A32" s="8" t="s">
        <v>34</v>
      </c>
      <c r="B32" s="19" t="n">
        <f aca="false">SUMIF(C11:C20,"อยากได้",B11:B20)</f>
        <v>5400</v>
      </c>
      <c r="C32" s="20" t="n">
        <f aca="false">IF($B$8=0,0,B32/$B$8)</f>
        <v>0.1125</v>
      </c>
    </row>
    <row r="33" customFormat="false" ht="15" hidden="false" customHeight="false" outlineLevel="0" collapsed="false">
      <c r="A33" s="8" t="s">
        <v>50</v>
      </c>
      <c r="B33" s="19" t="n">
        <f aca="false">B26+B27</f>
        <v>9500</v>
      </c>
      <c r="C33" s="20" t="n">
        <f aca="false">IF($B$8=0,0,B33/$B$8)</f>
        <v>0.197916666666667</v>
      </c>
    </row>
    <row r="34" customFormat="false" ht="15" hidden="false" customHeight="false" outlineLevel="0" collapsed="false">
      <c r="A34" s="21" t="s">
        <v>51</v>
      </c>
    </row>
  </sheetData>
  <mergeCells count="2">
    <mergeCell ref="A1:E1"/>
    <mergeCell ref="A2:E2"/>
  </mergeCells>
  <conditionalFormatting sqref="B23">
    <cfRule type="cellIs" priority="2" operator="lessThan" aboveAverage="0" equalAverage="0" bottom="0" percent="0" rank="0" text="" dxfId="0">
      <formula>0</formula>
    </cfRule>
  </conditionalFormatting>
  <conditionalFormatting sqref="B28">
    <cfRule type="cellIs" priority="3" operator="lessThan" aboveAverage="0" equalAverage="0" bottom="0" percent="0" rank="0" text="" dxfId="0">
      <formula>0</formula>
    </cfRule>
  </conditionalFormatting>
  <dataValidations count="1">
    <dataValidation allowBlank="false" errorStyle="stop" operator="between" showDropDown="false" showErrorMessage="false" showInputMessage="false" sqref="C11:C19" type="list">
      <formula1>"จำเป็น,อยากได้"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29" min="7" style="0" width="14"/>
  </cols>
  <sheetData>
    <row r="1" customFormat="false" ht="33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7" t="s">
        <v>54</v>
      </c>
      <c r="B3" s="22" t="s">
        <v>55</v>
      </c>
      <c r="C3" s="22"/>
      <c r="D3" s="21" t="s">
        <v>56</v>
      </c>
    </row>
    <row r="5" customFormat="false" ht="15" hidden="false" customHeight="false" outlineLevel="0" collapsed="false">
      <c r="A5" s="18" t="s">
        <v>57</v>
      </c>
      <c r="B5" s="7" t="s">
        <v>58</v>
      </c>
      <c r="C5" s="7" t="s">
        <v>59</v>
      </c>
      <c r="D5" s="7" t="s">
        <v>60</v>
      </c>
      <c r="E5" s="7" t="s">
        <v>61</v>
      </c>
      <c r="F5" s="7" t="s">
        <v>62</v>
      </c>
      <c r="M5" s="23" t="s">
        <v>63</v>
      </c>
    </row>
    <row r="6" customFormat="false" ht="15" hidden="false" customHeight="false" outlineLevel="0" collapsed="false">
      <c r="A6" s="8" t="n">
        <v>1</v>
      </c>
      <c r="B6" s="12" t="s">
        <v>64</v>
      </c>
      <c r="C6" s="9" t="n">
        <v>45000</v>
      </c>
      <c r="D6" s="9" t="n">
        <v>2250</v>
      </c>
      <c r="E6" s="24" t="n">
        <v>0.16</v>
      </c>
      <c r="F6" s="8" t="n">
        <f aca="false">IF($C6&lt;=0,"-",COUNTIF($M$6:$M$11,"&lt;"&amp;M6)+1)</f>
        <v>2</v>
      </c>
      <c r="M6" s="23" t="n">
        <f aca="false">IF($C6&lt;=0,1000000000+6,IF($B$3="ดอกเบี้ยสูงสุดก่อน",1000-$E6*1000+6/1000,$C6+6/1000))</f>
        <v>840.006</v>
      </c>
    </row>
    <row r="7" customFormat="false" ht="15" hidden="false" customHeight="false" outlineLevel="0" collapsed="false">
      <c r="A7" s="8" t="n">
        <v>2</v>
      </c>
      <c r="B7" s="12" t="s">
        <v>65</v>
      </c>
      <c r="C7" s="9" t="n">
        <v>12000</v>
      </c>
      <c r="D7" s="9" t="n">
        <v>1500</v>
      </c>
      <c r="E7" s="24" t="n">
        <v>0</v>
      </c>
      <c r="F7" s="8" t="n">
        <f aca="false">IF($C7&lt;=0,"-",COUNTIF($M$6:$M$11,"&lt;"&amp;M7)+1)</f>
        <v>3</v>
      </c>
      <c r="M7" s="23" t="n">
        <f aca="false">IF($C7&lt;=0,1000000000+7,IF($B$3="ดอกเบี้ยสูงสุดก่อน",1000-$E7*1000+7/1000,$C7+7/1000))</f>
        <v>1000.007</v>
      </c>
    </row>
    <row r="8" customFormat="false" ht="15" hidden="false" customHeight="false" outlineLevel="0" collapsed="false">
      <c r="A8" s="8" t="n">
        <v>3</v>
      </c>
      <c r="B8" s="12" t="s">
        <v>66</v>
      </c>
      <c r="C8" s="9" t="n">
        <v>60000</v>
      </c>
      <c r="D8" s="9" t="n">
        <v>2800</v>
      </c>
      <c r="E8" s="24" t="n">
        <v>0.25</v>
      </c>
      <c r="F8" s="8" t="n">
        <f aca="false">IF($C8&lt;=0,"-",COUNTIF($M$6:$M$11,"&lt;"&amp;M8)+1)</f>
        <v>1</v>
      </c>
      <c r="M8" s="23" t="n">
        <f aca="false">IF($C8&lt;=0,1000000000+8,IF($B$3="ดอกเบี้ยสูงสุดก่อน",1000-$E8*1000+8/1000,$C8+8/1000))</f>
        <v>750.008</v>
      </c>
    </row>
    <row r="9" customFormat="false" ht="15" hidden="false" customHeight="false" outlineLevel="0" collapsed="false">
      <c r="A9" s="8" t="n">
        <v>4</v>
      </c>
      <c r="B9" s="12"/>
      <c r="C9" s="9" t="n">
        <v>0</v>
      </c>
      <c r="D9" s="9" t="n">
        <v>0</v>
      </c>
      <c r="E9" s="24" t="n">
        <v>0</v>
      </c>
      <c r="F9" s="8" t="str">
        <f aca="false">IF($C9&lt;=0,"-",COUNTIF($M$6:$M$11,"&lt;"&amp;M9)+1)</f>
        <v>-</v>
      </c>
      <c r="M9" s="23" t="n">
        <f aca="false">IF($C9&lt;=0,1000000000+9,IF($B$3="ดอกเบี้ยสูงสุดก่อน",1000-$E9*1000+9/1000,$C9+9/1000))</f>
        <v>1000000009</v>
      </c>
    </row>
    <row r="10" customFormat="false" ht="15" hidden="false" customHeight="false" outlineLevel="0" collapsed="false">
      <c r="A10" s="8" t="n">
        <v>5</v>
      </c>
      <c r="B10" s="12"/>
      <c r="C10" s="9" t="n">
        <v>0</v>
      </c>
      <c r="D10" s="9" t="n">
        <v>0</v>
      </c>
      <c r="E10" s="24" t="n">
        <v>0</v>
      </c>
      <c r="F10" s="8" t="str">
        <f aca="false">IF($C10&lt;=0,"-",COUNTIF($M$6:$M$11,"&lt;"&amp;M10)+1)</f>
        <v>-</v>
      </c>
      <c r="M10" s="23" t="n">
        <f aca="false">IF($C10&lt;=0,1000000000+10,IF($B$3="ดอกเบี้ยสูงสุดก่อน",1000-$E10*1000+10/1000,$C10+10/1000))</f>
        <v>1000000010</v>
      </c>
    </row>
    <row r="11" customFormat="false" ht="15" hidden="false" customHeight="false" outlineLevel="0" collapsed="false">
      <c r="A11" s="8" t="n">
        <v>6</v>
      </c>
      <c r="B11" s="12"/>
      <c r="C11" s="9" t="n">
        <v>0</v>
      </c>
      <c r="D11" s="9" t="n">
        <v>0</v>
      </c>
      <c r="E11" s="24" t="n">
        <v>0</v>
      </c>
      <c r="F11" s="8" t="str">
        <f aca="false">IF($C11&lt;=0,"-",COUNTIF($M$6:$M$11,"&lt;"&amp;M11)+1)</f>
        <v>-</v>
      </c>
      <c r="M11" s="23" t="n">
        <f aca="false">IF($C11&lt;=0,1000000000+11,IF($B$3="ดอกเบี้ยสูงสุดก่อน",1000-$E11*1000+11/1000,$C11+11/1000))</f>
        <v>1000000011</v>
      </c>
    </row>
    <row r="12" customFormat="false" ht="15" hidden="false" customHeight="false" outlineLevel="0" collapsed="false">
      <c r="B12" s="17" t="s">
        <v>67</v>
      </c>
      <c r="C12" s="11" t="n">
        <f aca="false">SUM(C6:C11)</f>
        <v>117000</v>
      </c>
      <c r="D12" s="11" t="n">
        <f aca="false">SUM(D6:D11)</f>
        <v>6550</v>
      </c>
    </row>
    <row r="13" customFormat="false" ht="15" hidden="false" customHeight="false" outlineLevel="0" collapsed="false">
      <c r="B13" s="25" t="s">
        <v>68</v>
      </c>
      <c r="C13" s="14" t="n">
        <f aca="false">งบรายเดือน!B26</f>
        <v>1500</v>
      </c>
    </row>
    <row r="14" customFormat="false" ht="15" hidden="false" customHeight="false" outlineLevel="0" collapsed="false">
      <c r="B14" s="17" t="s">
        <v>69</v>
      </c>
      <c r="C14" s="11" t="n">
        <f aca="false">D12+C13</f>
        <v>8050</v>
      </c>
    </row>
    <row r="16" customFormat="false" ht="16.4" hidden="false" customHeight="false" outlineLevel="0" collapsed="false">
      <c r="A16" s="26" t="s">
        <v>70</v>
      </c>
    </row>
    <row r="17" customFormat="false" ht="15" hidden="false" customHeight="false" outlineLevel="0" collapsed="false">
      <c r="A17" s="7" t="s">
        <v>71</v>
      </c>
      <c r="B17" s="7" t="s">
        <v>72</v>
      </c>
      <c r="C17" s="7" t="s">
        <v>73</v>
      </c>
      <c r="D17" s="7" t="s">
        <v>74</v>
      </c>
      <c r="E17" s="7" t="s">
        <v>61</v>
      </c>
    </row>
    <row r="18" customFormat="false" ht="15" hidden="false" customHeight="false" outlineLevel="0" collapsed="false">
      <c r="A18" s="8" t="n">
        <v>1</v>
      </c>
      <c r="B18" s="8" t="str">
        <f aca="false">IFERROR(INDEX($B$6:$B$11,MATCH(1,$F$6:$F$11,0)),"")</f>
        <v>สินเชื่อส่วนบุคคล</v>
      </c>
      <c r="C18" s="19" t="n">
        <f aca="false">IFERROR(INDEX($C$6:$C$11,MATCH(1,$F$6:$F$11,0)),0)</f>
        <v>60000</v>
      </c>
      <c r="D18" s="19" t="n">
        <f aca="false">IFERROR(INDEX($D$6:$D$11,MATCH(1,$F$6:$F$11,0)),0)</f>
        <v>2800</v>
      </c>
      <c r="E18" s="20" t="n">
        <f aca="false">IFERROR(INDEX($E$6:$E$11,MATCH(1,$F$6:$F$11,0)),0)</f>
        <v>0.25</v>
      </c>
    </row>
    <row r="19" customFormat="false" ht="15" hidden="false" customHeight="false" outlineLevel="0" collapsed="false">
      <c r="A19" s="8" t="n">
        <v>2</v>
      </c>
      <c r="B19" s="8" t="str">
        <f aca="false">IFERROR(INDEX($B$6:$B$11,MATCH(2,$F$6:$F$11,0)),"")</f>
        <v>บัตรเครดิต A</v>
      </c>
      <c r="C19" s="19" t="n">
        <f aca="false">IFERROR(INDEX($C$6:$C$11,MATCH(2,$F$6:$F$11,0)),0)</f>
        <v>45000</v>
      </c>
      <c r="D19" s="19" t="n">
        <f aca="false">IFERROR(INDEX($D$6:$D$11,MATCH(2,$F$6:$F$11,0)),0)</f>
        <v>2250</v>
      </c>
      <c r="E19" s="20" t="n">
        <f aca="false">IFERROR(INDEX($E$6:$E$11,MATCH(2,$F$6:$F$11,0)),0)</f>
        <v>0.16</v>
      </c>
    </row>
    <row r="20" customFormat="false" ht="15" hidden="false" customHeight="false" outlineLevel="0" collapsed="false">
      <c r="A20" s="8" t="n">
        <v>3</v>
      </c>
      <c r="B20" s="8" t="str">
        <f aca="false">IFERROR(INDEX($B$6:$B$11,MATCH(3,$F$6:$F$11,0)),"")</f>
        <v>ผ่อนมือถือ</v>
      </c>
      <c r="C20" s="19" t="n">
        <f aca="false">IFERROR(INDEX($C$6:$C$11,MATCH(3,$F$6:$F$11,0)),0)</f>
        <v>12000</v>
      </c>
      <c r="D20" s="19" t="n">
        <f aca="false">IFERROR(INDEX($D$6:$D$11,MATCH(3,$F$6:$F$11,0)),0)</f>
        <v>1500</v>
      </c>
      <c r="E20" s="20" t="n">
        <f aca="false">IFERROR(INDEX($E$6:$E$11,MATCH(3,$F$6:$F$11,0)),0)</f>
        <v>0</v>
      </c>
    </row>
    <row r="21" customFormat="false" ht="15" hidden="false" customHeight="false" outlineLevel="0" collapsed="false">
      <c r="A21" s="8" t="n">
        <v>4</v>
      </c>
      <c r="B21" s="8" t="str">
        <f aca="false">IFERROR(INDEX($B$6:$B$11,MATCH(4,$F$6:$F$11,0)),"")</f>
        <v/>
      </c>
      <c r="C21" s="19" t="n">
        <f aca="false">IFERROR(INDEX($C$6:$C$11,MATCH(4,$F$6:$F$11,0)),0)</f>
        <v>0</v>
      </c>
      <c r="D21" s="19" t="n">
        <f aca="false">IFERROR(INDEX($D$6:$D$11,MATCH(4,$F$6:$F$11,0)),0)</f>
        <v>0</v>
      </c>
      <c r="E21" s="20" t="n">
        <f aca="false">IFERROR(INDEX($E$6:$E$11,MATCH(4,$F$6:$F$11,0)),0)</f>
        <v>0</v>
      </c>
    </row>
    <row r="22" customFormat="false" ht="15" hidden="false" customHeight="false" outlineLevel="0" collapsed="false">
      <c r="A22" s="8" t="n">
        <v>5</v>
      </c>
      <c r="B22" s="8" t="str">
        <f aca="false">IFERROR(INDEX($B$6:$B$11,MATCH(5,$F$6:$F$11,0)),"")</f>
        <v/>
      </c>
      <c r="C22" s="19" t="n">
        <f aca="false">IFERROR(INDEX($C$6:$C$11,MATCH(5,$F$6:$F$11,0)),0)</f>
        <v>0</v>
      </c>
      <c r="D22" s="19" t="n">
        <f aca="false">IFERROR(INDEX($D$6:$D$11,MATCH(5,$F$6:$F$11,0)),0)</f>
        <v>0</v>
      </c>
      <c r="E22" s="20" t="n">
        <f aca="false">IFERROR(INDEX($E$6:$E$11,MATCH(5,$F$6:$F$11,0)),0)</f>
        <v>0</v>
      </c>
    </row>
    <row r="23" customFormat="false" ht="15" hidden="false" customHeight="false" outlineLevel="0" collapsed="false">
      <c r="A23" s="8" t="n">
        <v>6</v>
      </c>
      <c r="B23" s="8" t="str">
        <f aca="false">IFERROR(INDEX($B$6:$B$11,MATCH(6,$F$6:$F$11,0)),"")</f>
        <v/>
      </c>
      <c r="C23" s="19" t="n">
        <f aca="false">IFERROR(INDEX($C$6:$C$11,MATCH(6,$F$6:$F$11,0)),0)</f>
        <v>0</v>
      </c>
      <c r="D23" s="19" t="n">
        <f aca="false">IFERROR(INDEX($D$6:$D$11,MATCH(6,$F$6:$F$11,0)),0)</f>
        <v>0</v>
      </c>
      <c r="E23" s="20" t="n">
        <f aca="false">IFERROR(INDEX($E$6:$E$11,MATCH(6,$F$6:$F$11,0)),0)</f>
        <v>0</v>
      </c>
    </row>
    <row r="25" customFormat="false" ht="16.15" hidden="false" customHeight="false" outlineLevel="0" collapsed="false">
      <c r="A25" s="26" t="s">
        <v>75</v>
      </c>
    </row>
    <row r="26" customFormat="false" ht="15" hidden="false" customHeight="false" outlineLevel="0" collapsed="false">
      <c r="B26" s="25" t="s">
        <v>76</v>
      </c>
      <c r="C26" s="27" t="n">
        <f aca="false">IF(COUNTIF($C$12,0)=1,0,IF(INDEX($B$41:$B$160,120)&gt;0.5,"เกิน 120 เดือน",COUNTIF($B$41:$B$160,"&gt;0.5")+1))</f>
        <v>17</v>
      </c>
    </row>
    <row r="27" customFormat="false" ht="15" hidden="false" customHeight="false" outlineLevel="0" collapsed="false">
      <c r="B27" s="25" t="s">
        <v>77</v>
      </c>
      <c r="C27" s="11" t="n">
        <f aca="false">SUM($D$41:$D$160)</f>
        <v>17564.5</v>
      </c>
    </row>
    <row r="28" customFormat="false" ht="15" hidden="false" customHeight="false" outlineLevel="0" collapsed="false">
      <c r="B28" s="25" t="s">
        <v>78</v>
      </c>
      <c r="C28" s="11" t="n">
        <f aca="false">SUM($E$41:$E$160)</f>
        <v>134564.5</v>
      </c>
    </row>
    <row r="29" customFormat="false" ht="15" hidden="false" customHeight="false" outlineLevel="0" collapsed="false">
      <c r="B29" s="16" t="s">
        <v>79</v>
      </c>
      <c r="C29" s="17" t="str">
        <f aca="false">IF($C$14&lt;SUMPRODUCT($C$18:$C$23,$E$18:$E$23)/12,"หนี้ไม่ลด ต้องเพิ่มงบ","ปกติ")</f>
        <v>ปกติ</v>
      </c>
    </row>
    <row r="30" customFormat="false" ht="15" hidden="false" customHeight="false" outlineLevel="0" collapsed="false">
      <c r="B30" s="25" t="s">
        <v>80</v>
      </c>
      <c r="C30" s="28" t="n">
        <f aca="true">IF(ISNUMBER(C26),EDATE(TODAY(),C26),"-")</f>
        <v>46836</v>
      </c>
    </row>
    <row r="32" customFormat="false" ht="15" hidden="false" customHeight="false" outlineLevel="0" collapsed="false">
      <c r="A32" s="21" t="s">
        <v>81</v>
      </c>
    </row>
    <row r="40" customFormat="false" ht="26.85" hidden="false" customHeight="false" outlineLevel="0" collapsed="false">
      <c r="A40" s="7" t="s">
        <v>82</v>
      </c>
      <c r="B40" s="7" t="s">
        <v>83</v>
      </c>
      <c r="C40" s="7" t="s">
        <v>84</v>
      </c>
      <c r="D40" s="7" t="s">
        <v>85</v>
      </c>
      <c r="E40" s="7" t="s">
        <v>86</v>
      </c>
      <c r="F40" s="7" t="s">
        <v>87</v>
      </c>
      <c r="G40" s="7" t="s">
        <v>88</v>
      </c>
      <c r="H40" s="7" t="s">
        <v>89</v>
      </c>
      <c r="I40" s="7" t="s">
        <v>90</v>
      </c>
      <c r="J40" s="7" t="s">
        <v>91</v>
      </c>
      <c r="K40" s="7" t="s">
        <v>92</v>
      </c>
      <c r="L40" s="7" t="s">
        <v>93</v>
      </c>
      <c r="M40" s="7" t="s">
        <v>94</v>
      </c>
      <c r="N40" s="7" t="s">
        <v>95</v>
      </c>
      <c r="O40" s="7" t="s">
        <v>96</v>
      </c>
      <c r="P40" s="7" t="s">
        <v>97</v>
      </c>
      <c r="Q40" s="7" t="s">
        <v>98</v>
      </c>
      <c r="R40" s="7" t="s">
        <v>99</v>
      </c>
      <c r="S40" s="7" t="s">
        <v>100</v>
      </c>
      <c r="T40" s="7" t="s">
        <v>101</v>
      </c>
      <c r="U40" s="7" t="s">
        <v>102</v>
      </c>
      <c r="V40" s="7" t="s">
        <v>103</v>
      </c>
      <c r="W40" s="7" t="s">
        <v>104</v>
      </c>
      <c r="X40" s="7" t="s">
        <v>105</v>
      </c>
      <c r="Y40" s="7" t="s">
        <v>106</v>
      </c>
      <c r="Z40" s="7" t="s">
        <v>107</v>
      </c>
      <c r="AA40" s="7" t="s">
        <v>108</v>
      </c>
      <c r="AB40" s="7" t="s">
        <v>109</v>
      </c>
      <c r="AC40" s="7" t="s">
        <v>110</v>
      </c>
    </row>
    <row r="41" customFormat="false" ht="15" hidden="false" customHeight="false" outlineLevel="0" collapsed="false">
      <c r="A41" s="29" t="n">
        <v>1</v>
      </c>
      <c r="B41" s="30" t="n">
        <f aca="false">F41+J41+N41+R41+V41+Z41</f>
        <v>110800</v>
      </c>
      <c r="C41" s="30" t="n">
        <f aca="false">$C$14-E41</f>
        <v>0</v>
      </c>
      <c r="D41" s="30" t="n">
        <f aca="false">G41+K41+O41+S41+W41+AA41</f>
        <v>1850</v>
      </c>
      <c r="E41" s="30" t="n">
        <f aca="false">H41+I41+L41+M41+P41+Q41+T41+U41+X41+Y41+AB41+AC41</f>
        <v>8050</v>
      </c>
      <c r="F41" s="30" t="n">
        <f aca="false">ROUND($C$18+G41-H41-I41,2)</f>
        <v>56950</v>
      </c>
      <c r="G41" s="30" t="n">
        <f aca="false">ROUND($C$18*$E$18/12,2)</f>
        <v>1250</v>
      </c>
      <c r="H41" s="30" t="n">
        <f aca="false">MIN($D$18,$C$18+G41)</f>
        <v>2800</v>
      </c>
      <c r="I41" s="30" t="n">
        <f aca="false">MAX(0,MIN($C$14-(H41+L41+P41+T41+X41+AB41)-0,$C$18+G41-H41))</f>
        <v>1500</v>
      </c>
      <c r="J41" s="30" t="n">
        <f aca="false">ROUND($C$19+K41-L41-M41,2)</f>
        <v>43350</v>
      </c>
      <c r="K41" s="30" t="n">
        <f aca="false">ROUND($C$19*$E$19/12,2)</f>
        <v>600</v>
      </c>
      <c r="L41" s="30" t="n">
        <f aca="false">MIN($D$19,$C$19+K41)</f>
        <v>2250</v>
      </c>
      <c r="M41" s="30" t="n">
        <f aca="false">MAX(0,MIN($C$14-(H41+L41+P41+T41+X41+AB41)-(I41),$C$19+K41-L41))</f>
        <v>0</v>
      </c>
      <c r="N41" s="30" t="n">
        <f aca="false">ROUND($C$20+O41-P41-Q41,2)</f>
        <v>10500</v>
      </c>
      <c r="O41" s="30" t="n">
        <f aca="false">ROUND($C$20*$E$20/12,2)</f>
        <v>0</v>
      </c>
      <c r="P41" s="30" t="n">
        <f aca="false">MIN($D$20,$C$20+O41)</f>
        <v>1500</v>
      </c>
      <c r="Q41" s="30" t="n">
        <f aca="false">MAX(0,MIN($C$14-(H41+L41+P41+T41+X41+AB41)-(I41+M41),$C$20+O41-P41))</f>
        <v>0</v>
      </c>
      <c r="R41" s="30" t="n">
        <f aca="false">ROUND($C$21+S41-T41-U41,2)</f>
        <v>0</v>
      </c>
      <c r="S41" s="30" t="n">
        <f aca="false">ROUND($C$21*$E$21/12,2)</f>
        <v>0</v>
      </c>
      <c r="T41" s="30" t="n">
        <f aca="false">MIN($D$21,$C$21+S41)</f>
        <v>0</v>
      </c>
      <c r="U41" s="30" t="n">
        <f aca="false">MAX(0,MIN($C$14-(H41+L41+P41+T41+X41+AB41)-(I41+M41+Q41),$C$21+S41-T41))</f>
        <v>0</v>
      </c>
      <c r="V41" s="30" t="n">
        <f aca="false">ROUND($C$22+W41-X41-Y41,2)</f>
        <v>0</v>
      </c>
      <c r="W41" s="30" t="n">
        <f aca="false">ROUND($C$22*$E$22/12,2)</f>
        <v>0</v>
      </c>
      <c r="X41" s="30" t="n">
        <f aca="false">MIN($D$22,$C$22+W41)</f>
        <v>0</v>
      </c>
      <c r="Y41" s="30" t="n">
        <f aca="false">MAX(0,MIN($C$14-(H41+L41+P41+T41+X41+AB41)-(I41+M41+Q41+U41),$C$22+W41-X41))</f>
        <v>0</v>
      </c>
      <c r="Z41" s="30" t="n">
        <f aca="false">ROUND($C$23+AA41-AB41-AC41,2)</f>
        <v>0</v>
      </c>
      <c r="AA41" s="30" t="n">
        <f aca="false">ROUND($C$23*$E$23/12,2)</f>
        <v>0</v>
      </c>
      <c r="AB41" s="30" t="n">
        <f aca="false">MIN($D$23,$C$23+AA41)</f>
        <v>0</v>
      </c>
      <c r="AC41" s="30" t="n">
        <f aca="false">MAX(0,MIN($C$14-(H41+L41+P41+T41+X41+AB41)-(I41+M41+Q41+U41+Y41),$C$23+AA41-AB41))</f>
        <v>0</v>
      </c>
    </row>
    <row r="42" customFormat="false" ht="15" hidden="false" customHeight="false" outlineLevel="0" collapsed="false">
      <c r="A42" s="29" t="n">
        <v>2</v>
      </c>
      <c r="B42" s="30" t="n">
        <f aca="false">F42+J42+N42+R42+V42+Z42</f>
        <v>104514.46</v>
      </c>
      <c r="C42" s="30" t="n">
        <f aca="false">$C$14-E42</f>
        <v>0</v>
      </c>
      <c r="D42" s="30" t="n">
        <f aca="false">G42+K42+O42+S42+W42+AA42</f>
        <v>1764.46</v>
      </c>
      <c r="E42" s="30" t="n">
        <f aca="false">H42+I42+L42+M42+P42+Q42+T42+U42+X42+Y42+AB42+AC42</f>
        <v>8050</v>
      </c>
      <c r="F42" s="30" t="n">
        <f aca="false">ROUND(F41+G42-H42-I42,2)</f>
        <v>53836.46</v>
      </c>
      <c r="G42" s="30" t="n">
        <f aca="false">ROUND(F41*$E$18/12,2)</f>
        <v>1186.46</v>
      </c>
      <c r="H42" s="30" t="n">
        <f aca="false">MIN($D$18,F41+G42)</f>
        <v>2800</v>
      </c>
      <c r="I42" s="30" t="n">
        <f aca="false">MAX(0,MIN($C$14-(H42+L42+P42+T42+X42+AB42)-0,F41+G42-H42))</f>
        <v>1500</v>
      </c>
      <c r="J42" s="30" t="n">
        <f aca="false">ROUND(J41+K42-L42-M42,2)</f>
        <v>41678</v>
      </c>
      <c r="K42" s="30" t="n">
        <f aca="false">ROUND(J41*$E$19/12,2)</f>
        <v>578</v>
      </c>
      <c r="L42" s="30" t="n">
        <f aca="false">MIN($D$19,J41+K42)</f>
        <v>2250</v>
      </c>
      <c r="M42" s="30" t="n">
        <f aca="false">MAX(0,MIN($C$14-(H42+L42+P42+T42+X42+AB42)-(I42),J41+K42-L42))</f>
        <v>0</v>
      </c>
      <c r="N42" s="30" t="n">
        <f aca="false">ROUND(N41+O42-P42-Q42,2)</f>
        <v>9000</v>
      </c>
      <c r="O42" s="30" t="n">
        <f aca="false">ROUND(N41*$E$20/12,2)</f>
        <v>0</v>
      </c>
      <c r="P42" s="30" t="n">
        <f aca="false">MIN($D$20,N41+O42)</f>
        <v>1500</v>
      </c>
      <c r="Q42" s="30" t="n">
        <f aca="false">MAX(0,MIN($C$14-(H42+L42+P42+T42+X42+AB42)-(I42+M42),N41+O42-P42))</f>
        <v>0</v>
      </c>
      <c r="R42" s="30" t="n">
        <f aca="false">ROUND(R41+S42-T42-U42,2)</f>
        <v>0</v>
      </c>
      <c r="S42" s="30" t="n">
        <f aca="false">ROUND(R41*$E$21/12,2)</f>
        <v>0</v>
      </c>
      <c r="T42" s="30" t="n">
        <f aca="false">MIN($D$21,R41+S42)</f>
        <v>0</v>
      </c>
      <c r="U42" s="30" t="n">
        <f aca="false">MAX(0,MIN($C$14-(H42+L42+P42+T42+X42+AB42)-(I42+M42+Q42),R41+S42-T42))</f>
        <v>0</v>
      </c>
      <c r="V42" s="30" t="n">
        <f aca="false">ROUND(V41+W42-X42-Y42,2)</f>
        <v>0</v>
      </c>
      <c r="W42" s="30" t="n">
        <f aca="false">ROUND(V41*$E$22/12,2)</f>
        <v>0</v>
      </c>
      <c r="X42" s="30" t="n">
        <f aca="false">MIN($D$22,V41+W42)</f>
        <v>0</v>
      </c>
      <c r="Y42" s="30" t="n">
        <f aca="false">MAX(0,MIN($C$14-(H42+L42+P42+T42+X42+AB42)-(I42+M42+Q42+U42),V41+W42-X42))</f>
        <v>0</v>
      </c>
      <c r="Z42" s="30" t="n">
        <f aca="false">ROUND(Z41+AA42-AB42-AC42,2)</f>
        <v>0</v>
      </c>
      <c r="AA42" s="30" t="n">
        <f aca="false">ROUND(Z41*$E$23/12,2)</f>
        <v>0</v>
      </c>
      <c r="AB42" s="30" t="n">
        <f aca="false">MIN($D$23,Z41+AA42)</f>
        <v>0</v>
      </c>
      <c r="AC42" s="30" t="n">
        <f aca="false">MAX(0,MIN($C$14-(H42+L42+P42+T42+X42+AB42)-(I42+M42+Q42+U42+Y42),Z41+AA42-AB42))</f>
        <v>0</v>
      </c>
    </row>
    <row r="43" customFormat="false" ht="15" hidden="false" customHeight="false" outlineLevel="0" collapsed="false">
      <c r="A43" s="29" t="n">
        <v>3</v>
      </c>
      <c r="B43" s="30" t="n">
        <f aca="false">F43+J43+N43+R43+V43+Z43</f>
        <v>98141.76</v>
      </c>
      <c r="C43" s="30" t="n">
        <f aca="false">$C$14-E43</f>
        <v>0</v>
      </c>
      <c r="D43" s="30" t="n">
        <f aca="false">G43+K43+O43+S43+W43+AA43</f>
        <v>1677.3</v>
      </c>
      <c r="E43" s="30" t="n">
        <f aca="false">H43+I43+L43+M43+P43+Q43+T43+U43+X43+Y43+AB43+AC43</f>
        <v>8050</v>
      </c>
      <c r="F43" s="30" t="n">
        <f aca="false">ROUND(F42+G43-H43-I43,2)</f>
        <v>50658.05</v>
      </c>
      <c r="G43" s="30" t="n">
        <f aca="false">ROUND(F42*$E$18/12,2)</f>
        <v>1121.59</v>
      </c>
      <c r="H43" s="30" t="n">
        <f aca="false">MIN($D$18,F42+G43)</f>
        <v>2800</v>
      </c>
      <c r="I43" s="30" t="n">
        <f aca="false">MAX(0,MIN($C$14-(H43+L43+P43+T43+X43+AB43)-0,F42+G43-H43))</f>
        <v>1500</v>
      </c>
      <c r="J43" s="30" t="n">
        <f aca="false">ROUND(J42+K43-L43-M43,2)</f>
        <v>39983.71</v>
      </c>
      <c r="K43" s="30" t="n">
        <f aca="false">ROUND(J42*$E$19/12,2)</f>
        <v>555.71</v>
      </c>
      <c r="L43" s="30" t="n">
        <f aca="false">MIN($D$19,J42+K43)</f>
        <v>2250</v>
      </c>
      <c r="M43" s="30" t="n">
        <f aca="false">MAX(0,MIN($C$14-(H43+L43+P43+T43+X43+AB43)-(I43),J42+K43-L43))</f>
        <v>0</v>
      </c>
      <c r="N43" s="30" t="n">
        <f aca="false">ROUND(N42+O43-P43-Q43,2)</f>
        <v>7500</v>
      </c>
      <c r="O43" s="30" t="n">
        <f aca="false">ROUND(N42*$E$20/12,2)</f>
        <v>0</v>
      </c>
      <c r="P43" s="30" t="n">
        <f aca="false">MIN($D$20,N42+O43)</f>
        <v>1500</v>
      </c>
      <c r="Q43" s="30" t="n">
        <f aca="false">MAX(0,MIN($C$14-(H43+L43+P43+T43+X43+AB43)-(I43+M43),N42+O43-P43))</f>
        <v>0</v>
      </c>
      <c r="R43" s="30" t="n">
        <f aca="false">ROUND(R42+S43-T43-U43,2)</f>
        <v>0</v>
      </c>
      <c r="S43" s="30" t="n">
        <f aca="false">ROUND(R42*$E$21/12,2)</f>
        <v>0</v>
      </c>
      <c r="T43" s="30" t="n">
        <f aca="false">MIN($D$21,R42+S43)</f>
        <v>0</v>
      </c>
      <c r="U43" s="30" t="n">
        <f aca="false">MAX(0,MIN($C$14-(H43+L43+P43+T43+X43+AB43)-(I43+M43+Q43),R42+S43-T43))</f>
        <v>0</v>
      </c>
      <c r="V43" s="30" t="n">
        <f aca="false">ROUND(V42+W43-X43-Y43,2)</f>
        <v>0</v>
      </c>
      <c r="W43" s="30" t="n">
        <f aca="false">ROUND(V42*$E$22/12,2)</f>
        <v>0</v>
      </c>
      <c r="X43" s="30" t="n">
        <f aca="false">MIN($D$22,V42+W43)</f>
        <v>0</v>
      </c>
      <c r="Y43" s="30" t="n">
        <f aca="false">MAX(0,MIN($C$14-(H43+L43+P43+T43+X43+AB43)-(I43+M43+Q43+U43),V42+W43-X43))</f>
        <v>0</v>
      </c>
      <c r="Z43" s="30" t="n">
        <f aca="false">ROUND(Z42+AA43-AB43-AC43,2)</f>
        <v>0</v>
      </c>
      <c r="AA43" s="30" t="n">
        <f aca="false">ROUND(Z42*$E$23/12,2)</f>
        <v>0</v>
      </c>
      <c r="AB43" s="30" t="n">
        <f aca="false">MIN($D$23,Z42+AA43)</f>
        <v>0</v>
      </c>
      <c r="AC43" s="30" t="n">
        <f aca="false">MAX(0,MIN($C$14-(H43+L43+P43+T43+X43+AB43)-(I43+M43+Q43+U43+Y43),Z42+AA43-AB43))</f>
        <v>0</v>
      </c>
    </row>
    <row r="44" customFormat="false" ht="15" hidden="false" customHeight="false" outlineLevel="0" collapsed="false">
      <c r="A44" s="29" t="n">
        <v>4</v>
      </c>
      <c r="B44" s="30" t="n">
        <f aca="false">F44+J44+N44+R44+V44+Z44</f>
        <v>91680.26</v>
      </c>
      <c r="C44" s="30" t="n">
        <f aca="false">$C$14-E44</f>
        <v>0</v>
      </c>
      <c r="D44" s="30" t="n">
        <f aca="false">G44+K44+O44+S44+W44+AA44</f>
        <v>1588.5</v>
      </c>
      <c r="E44" s="30" t="n">
        <f aca="false">H44+I44+L44+M44+P44+Q44+T44+U44+X44+Y44+AB44+AC44</f>
        <v>8050</v>
      </c>
      <c r="F44" s="30" t="n">
        <f aca="false">ROUND(F43+G44-H44-I44,2)</f>
        <v>47413.43</v>
      </c>
      <c r="G44" s="30" t="n">
        <f aca="false">ROUND(F43*$E$18/12,2)</f>
        <v>1055.38</v>
      </c>
      <c r="H44" s="30" t="n">
        <f aca="false">MIN($D$18,F43+G44)</f>
        <v>2800</v>
      </c>
      <c r="I44" s="30" t="n">
        <f aca="false">MAX(0,MIN($C$14-(H44+L44+P44+T44+X44+AB44)-0,F43+G44-H44))</f>
        <v>1500</v>
      </c>
      <c r="J44" s="30" t="n">
        <f aca="false">ROUND(J43+K44-L44-M44,2)</f>
        <v>38266.83</v>
      </c>
      <c r="K44" s="30" t="n">
        <f aca="false">ROUND(J43*$E$19/12,2)</f>
        <v>533.12</v>
      </c>
      <c r="L44" s="30" t="n">
        <f aca="false">MIN($D$19,J43+K44)</f>
        <v>2250</v>
      </c>
      <c r="M44" s="30" t="n">
        <f aca="false">MAX(0,MIN($C$14-(H44+L44+P44+T44+X44+AB44)-(I44),J43+K44-L44))</f>
        <v>0</v>
      </c>
      <c r="N44" s="30" t="n">
        <f aca="false">ROUND(N43+O44-P44-Q44,2)</f>
        <v>6000</v>
      </c>
      <c r="O44" s="30" t="n">
        <f aca="false">ROUND(N43*$E$20/12,2)</f>
        <v>0</v>
      </c>
      <c r="P44" s="30" t="n">
        <f aca="false">MIN($D$20,N43+O44)</f>
        <v>1500</v>
      </c>
      <c r="Q44" s="30" t="n">
        <f aca="false">MAX(0,MIN($C$14-(H44+L44+P44+T44+X44+AB44)-(I44+M44),N43+O44-P44))</f>
        <v>0</v>
      </c>
      <c r="R44" s="30" t="n">
        <f aca="false">ROUND(R43+S44-T44-U44,2)</f>
        <v>0</v>
      </c>
      <c r="S44" s="30" t="n">
        <f aca="false">ROUND(R43*$E$21/12,2)</f>
        <v>0</v>
      </c>
      <c r="T44" s="30" t="n">
        <f aca="false">MIN($D$21,R43+S44)</f>
        <v>0</v>
      </c>
      <c r="U44" s="30" t="n">
        <f aca="false">MAX(0,MIN($C$14-(H44+L44+P44+T44+X44+AB44)-(I44+M44+Q44),R43+S44-T44))</f>
        <v>0</v>
      </c>
      <c r="V44" s="30" t="n">
        <f aca="false">ROUND(V43+W44-X44-Y44,2)</f>
        <v>0</v>
      </c>
      <c r="W44" s="30" t="n">
        <f aca="false">ROUND(V43*$E$22/12,2)</f>
        <v>0</v>
      </c>
      <c r="X44" s="30" t="n">
        <f aca="false">MIN($D$22,V43+W44)</f>
        <v>0</v>
      </c>
      <c r="Y44" s="30" t="n">
        <f aca="false">MAX(0,MIN($C$14-(H44+L44+P44+T44+X44+AB44)-(I44+M44+Q44+U44),V43+W44-X44))</f>
        <v>0</v>
      </c>
      <c r="Z44" s="30" t="n">
        <f aca="false">ROUND(Z43+AA44-AB44-AC44,2)</f>
        <v>0</v>
      </c>
      <c r="AA44" s="30" t="n">
        <f aca="false">ROUND(Z43*$E$23/12,2)</f>
        <v>0</v>
      </c>
      <c r="AB44" s="30" t="n">
        <f aca="false">MIN($D$23,Z43+AA44)</f>
        <v>0</v>
      </c>
      <c r="AC44" s="30" t="n">
        <f aca="false">MAX(0,MIN($C$14-(H44+L44+P44+T44+X44+AB44)-(I44+M44+Q44+U44+Y44),Z43+AA44-AB44))</f>
        <v>0</v>
      </c>
    </row>
    <row r="45" customFormat="false" ht="15" hidden="false" customHeight="false" outlineLevel="0" collapsed="false">
      <c r="A45" s="29" t="n">
        <v>5</v>
      </c>
      <c r="B45" s="30" t="n">
        <f aca="false">F45+J45+N45+R45+V45+Z45</f>
        <v>85128.26</v>
      </c>
      <c r="C45" s="30" t="n">
        <f aca="false">$C$14-E45</f>
        <v>0</v>
      </c>
      <c r="D45" s="30" t="n">
        <f aca="false">G45+K45+O45+S45+W45+AA45</f>
        <v>1498</v>
      </c>
      <c r="E45" s="30" t="n">
        <f aca="false">H45+I45+L45+M45+P45+Q45+T45+U45+X45+Y45+AB45+AC45</f>
        <v>8050</v>
      </c>
      <c r="F45" s="30" t="n">
        <f aca="false">ROUND(F44+G45-H45-I45,2)</f>
        <v>44101.21</v>
      </c>
      <c r="G45" s="30" t="n">
        <f aca="false">ROUND(F44*$E$18/12,2)</f>
        <v>987.78</v>
      </c>
      <c r="H45" s="30" t="n">
        <f aca="false">MIN($D$18,F44+G45)</f>
        <v>2800</v>
      </c>
      <c r="I45" s="30" t="n">
        <f aca="false">MAX(0,MIN($C$14-(H45+L45+P45+T45+X45+AB45)-0,F44+G45-H45))</f>
        <v>1500</v>
      </c>
      <c r="J45" s="30" t="n">
        <f aca="false">ROUND(J44+K45-L45-M45,2)</f>
        <v>36527.05</v>
      </c>
      <c r="K45" s="30" t="n">
        <f aca="false">ROUND(J44*$E$19/12,2)</f>
        <v>510.22</v>
      </c>
      <c r="L45" s="30" t="n">
        <f aca="false">MIN($D$19,J44+K45)</f>
        <v>2250</v>
      </c>
      <c r="M45" s="30" t="n">
        <f aca="false">MAX(0,MIN($C$14-(H45+L45+P45+T45+X45+AB45)-(I45),J44+K45-L45))</f>
        <v>0</v>
      </c>
      <c r="N45" s="30" t="n">
        <f aca="false">ROUND(N44+O45-P45-Q45,2)</f>
        <v>4500</v>
      </c>
      <c r="O45" s="30" t="n">
        <f aca="false">ROUND(N44*$E$20/12,2)</f>
        <v>0</v>
      </c>
      <c r="P45" s="30" t="n">
        <f aca="false">MIN($D$20,N44+O45)</f>
        <v>1500</v>
      </c>
      <c r="Q45" s="30" t="n">
        <f aca="false">MAX(0,MIN($C$14-(H45+L45+P45+T45+X45+AB45)-(I45+M45),N44+O45-P45))</f>
        <v>0</v>
      </c>
      <c r="R45" s="30" t="n">
        <f aca="false">ROUND(R44+S45-T45-U45,2)</f>
        <v>0</v>
      </c>
      <c r="S45" s="30" t="n">
        <f aca="false">ROUND(R44*$E$21/12,2)</f>
        <v>0</v>
      </c>
      <c r="T45" s="30" t="n">
        <f aca="false">MIN($D$21,R44+S45)</f>
        <v>0</v>
      </c>
      <c r="U45" s="30" t="n">
        <f aca="false">MAX(0,MIN($C$14-(H45+L45+P45+T45+X45+AB45)-(I45+M45+Q45),R44+S45-T45))</f>
        <v>0</v>
      </c>
      <c r="V45" s="30" t="n">
        <f aca="false">ROUND(V44+W45-X45-Y45,2)</f>
        <v>0</v>
      </c>
      <c r="W45" s="30" t="n">
        <f aca="false">ROUND(V44*$E$22/12,2)</f>
        <v>0</v>
      </c>
      <c r="X45" s="30" t="n">
        <f aca="false">MIN($D$22,V44+W45)</f>
        <v>0</v>
      </c>
      <c r="Y45" s="30" t="n">
        <f aca="false">MAX(0,MIN($C$14-(H45+L45+P45+T45+X45+AB45)-(I45+M45+Q45+U45),V44+W45-X45))</f>
        <v>0</v>
      </c>
      <c r="Z45" s="30" t="n">
        <f aca="false">ROUND(Z44+AA45-AB45-AC45,2)</f>
        <v>0</v>
      </c>
      <c r="AA45" s="30" t="n">
        <f aca="false">ROUND(Z44*$E$23/12,2)</f>
        <v>0</v>
      </c>
      <c r="AB45" s="30" t="n">
        <f aca="false">MIN($D$23,Z44+AA45)</f>
        <v>0</v>
      </c>
      <c r="AC45" s="30" t="n">
        <f aca="false">MAX(0,MIN($C$14-(H45+L45+P45+T45+X45+AB45)-(I45+M45+Q45+U45+Y45),Z44+AA45-AB45))</f>
        <v>0</v>
      </c>
    </row>
    <row r="46" customFormat="false" ht="15" hidden="false" customHeight="false" outlineLevel="0" collapsed="false">
      <c r="A46" s="29" t="n">
        <v>6</v>
      </c>
      <c r="B46" s="30" t="n">
        <f aca="false">F46+J46+N46+R46+V46+Z46</f>
        <v>78484.07</v>
      </c>
      <c r="C46" s="30" t="n">
        <f aca="false">$C$14-E46</f>
        <v>0</v>
      </c>
      <c r="D46" s="30" t="n">
        <f aca="false">G46+K46+O46+S46+W46+AA46</f>
        <v>1405.81</v>
      </c>
      <c r="E46" s="30" t="n">
        <f aca="false">H46+I46+L46+M46+P46+Q46+T46+U46+X46+Y46+AB46+AC46</f>
        <v>8050</v>
      </c>
      <c r="F46" s="30" t="n">
        <f aca="false">ROUND(F45+G46-H46-I46,2)</f>
        <v>40719.99</v>
      </c>
      <c r="G46" s="30" t="n">
        <f aca="false">ROUND(F45*$E$18/12,2)</f>
        <v>918.78</v>
      </c>
      <c r="H46" s="30" t="n">
        <f aca="false">MIN($D$18,F45+G46)</f>
        <v>2800</v>
      </c>
      <c r="I46" s="30" t="n">
        <f aca="false">MAX(0,MIN($C$14-(H46+L46+P46+T46+X46+AB46)-0,F45+G46-H46))</f>
        <v>1500</v>
      </c>
      <c r="J46" s="30" t="n">
        <f aca="false">ROUND(J45+K46-L46-M46,2)</f>
        <v>34764.08</v>
      </c>
      <c r="K46" s="30" t="n">
        <f aca="false">ROUND(J45*$E$19/12,2)</f>
        <v>487.03</v>
      </c>
      <c r="L46" s="30" t="n">
        <f aca="false">MIN($D$19,J45+K46)</f>
        <v>2250</v>
      </c>
      <c r="M46" s="30" t="n">
        <f aca="false">MAX(0,MIN($C$14-(H46+L46+P46+T46+X46+AB46)-(I46),J45+K46-L46))</f>
        <v>0</v>
      </c>
      <c r="N46" s="30" t="n">
        <f aca="false">ROUND(N45+O46-P46-Q46,2)</f>
        <v>3000</v>
      </c>
      <c r="O46" s="30" t="n">
        <f aca="false">ROUND(N45*$E$20/12,2)</f>
        <v>0</v>
      </c>
      <c r="P46" s="30" t="n">
        <f aca="false">MIN($D$20,N45+O46)</f>
        <v>1500</v>
      </c>
      <c r="Q46" s="30" t="n">
        <f aca="false">MAX(0,MIN($C$14-(H46+L46+P46+T46+X46+AB46)-(I46+M46),N45+O46-P46))</f>
        <v>0</v>
      </c>
      <c r="R46" s="30" t="n">
        <f aca="false">ROUND(R45+S46-T46-U46,2)</f>
        <v>0</v>
      </c>
      <c r="S46" s="30" t="n">
        <f aca="false">ROUND(R45*$E$21/12,2)</f>
        <v>0</v>
      </c>
      <c r="T46" s="30" t="n">
        <f aca="false">MIN($D$21,R45+S46)</f>
        <v>0</v>
      </c>
      <c r="U46" s="30" t="n">
        <f aca="false">MAX(0,MIN($C$14-(H46+L46+P46+T46+X46+AB46)-(I46+M46+Q46),R45+S46-T46))</f>
        <v>0</v>
      </c>
      <c r="V46" s="30" t="n">
        <f aca="false">ROUND(V45+W46-X46-Y46,2)</f>
        <v>0</v>
      </c>
      <c r="W46" s="30" t="n">
        <f aca="false">ROUND(V45*$E$22/12,2)</f>
        <v>0</v>
      </c>
      <c r="X46" s="30" t="n">
        <f aca="false">MIN($D$22,V45+W46)</f>
        <v>0</v>
      </c>
      <c r="Y46" s="30" t="n">
        <f aca="false">MAX(0,MIN($C$14-(H46+L46+P46+T46+X46+AB46)-(I46+M46+Q46+U46),V45+W46-X46))</f>
        <v>0</v>
      </c>
      <c r="Z46" s="30" t="n">
        <f aca="false">ROUND(Z45+AA46-AB46-AC46,2)</f>
        <v>0</v>
      </c>
      <c r="AA46" s="30" t="n">
        <f aca="false">ROUND(Z45*$E$23/12,2)</f>
        <v>0</v>
      </c>
      <c r="AB46" s="30" t="n">
        <f aca="false">MIN($D$23,Z45+AA46)</f>
        <v>0</v>
      </c>
      <c r="AC46" s="30" t="n">
        <f aca="false">MAX(0,MIN($C$14-(H46+L46+P46+T46+X46+AB46)-(I46+M46+Q46+U46+Y46),Z45+AA46-AB46))</f>
        <v>0</v>
      </c>
    </row>
    <row r="47" customFormat="false" ht="15" hidden="false" customHeight="false" outlineLevel="0" collapsed="false">
      <c r="A47" s="29" t="n">
        <v>7</v>
      </c>
      <c r="B47" s="30" t="n">
        <f aca="false">F47+J47+N47+R47+V47+Z47</f>
        <v>71745.92</v>
      </c>
      <c r="C47" s="30" t="n">
        <f aca="false">$C$14-E47</f>
        <v>0</v>
      </c>
      <c r="D47" s="30" t="n">
        <f aca="false">G47+K47+O47+S47+W47+AA47</f>
        <v>1311.85</v>
      </c>
      <c r="E47" s="30" t="n">
        <f aca="false">H47+I47+L47+M47+P47+Q47+T47+U47+X47+Y47+AB47+AC47</f>
        <v>8050</v>
      </c>
      <c r="F47" s="30" t="n">
        <f aca="false">ROUND(F46+G47-H47-I47,2)</f>
        <v>37268.32</v>
      </c>
      <c r="G47" s="30" t="n">
        <f aca="false">ROUND(F46*$E$18/12,2)</f>
        <v>848.33</v>
      </c>
      <c r="H47" s="30" t="n">
        <f aca="false">MIN($D$18,F46+G47)</f>
        <v>2800</v>
      </c>
      <c r="I47" s="30" t="n">
        <f aca="false">MAX(0,MIN($C$14-(H47+L47+P47+T47+X47+AB47)-0,F46+G47-H47))</f>
        <v>1500</v>
      </c>
      <c r="J47" s="30" t="n">
        <f aca="false">ROUND(J46+K47-L47-M47,2)</f>
        <v>32977.6</v>
      </c>
      <c r="K47" s="30" t="n">
        <f aca="false">ROUND(J46*$E$19/12,2)</f>
        <v>463.52</v>
      </c>
      <c r="L47" s="30" t="n">
        <f aca="false">MIN($D$19,J46+K47)</f>
        <v>2250</v>
      </c>
      <c r="M47" s="30" t="n">
        <f aca="false">MAX(0,MIN($C$14-(H47+L47+P47+T47+X47+AB47)-(I47),J46+K47-L47))</f>
        <v>0</v>
      </c>
      <c r="N47" s="30" t="n">
        <f aca="false">ROUND(N46+O47-P47-Q47,2)</f>
        <v>1500</v>
      </c>
      <c r="O47" s="30" t="n">
        <f aca="false">ROUND(N46*$E$20/12,2)</f>
        <v>0</v>
      </c>
      <c r="P47" s="30" t="n">
        <f aca="false">MIN($D$20,N46+O47)</f>
        <v>1500</v>
      </c>
      <c r="Q47" s="30" t="n">
        <f aca="false">MAX(0,MIN($C$14-(H47+L47+P47+T47+X47+AB47)-(I47+M47),N46+O47-P47))</f>
        <v>0</v>
      </c>
      <c r="R47" s="30" t="n">
        <f aca="false">ROUND(R46+S47-T47-U47,2)</f>
        <v>0</v>
      </c>
      <c r="S47" s="30" t="n">
        <f aca="false">ROUND(R46*$E$21/12,2)</f>
        <v>0</v>
      </c>
      <c r="T47" s="30" t="n">
        <f aca="false">MIN($D$21,R46+S47)</f>
        <v>0</v>
      </c>
      <c r="U47" s="30" t="n">
        <f aca="false">MAX(0,MIN($C$14-(H47+L47+P47+T47+X47+AB47)-(I47+M47+Q47),R46+S47-T47))</f>
        <v>0</v>
      </c>
      <c r="V47" s="30" t="n">
        <f aca="false">ROUND(V46+W47-X47-Y47,2)</f>
        <v>0</v>
      </c>
      <c r="W47" s="30" t="n">
        <f aca="false">ROUND(V46*$E$22/12,2)</f>
        <v>0</v>
      </c>
      <c r="X47" s="30" t="n">
        <f aca="false">MIN($D$22,V46+W47)</f>
        <v>0</v>
      </c>
      <c r="Y47" s="30" t="n">
        <f aca="false">MAX(0,MIN($C$14-(H47+L47+P47+T47+X47+AB47)-(I47+M47+Q47+U47),V46+W47-X47))</f>
        <v>0</v>
      </c>
      <c r="Z47" s="30" t="n">
        <f aca="false">ROUND(Z46+AA47-AB47-AC47,2)</f>
        <v>0</v>
      </c>
      <c r="AA47" s="30" t="n">
        <f aca="false">ROUND(Z46*$E$23/12,2)</f>
        <v>0</v>
      </c>
      <c r="AB47" s="30" t="n">
        <f aca="false">MIN($D$23,Z46+AA47)</f>
        <v>0</v>
      </c>
      <c r="AC47" s="30" t="n">
        <f aca="false">MAX(0,MIN($C$14-(H47+L47+P47+T47+X47+AB47)-(I47+M47+Q47+U47+Y47),Z46+AA47-AB47))</f>
        <v>0</v>
      </c>
    </row>
    <row r="48" customFormat="false" ht="15" hidden="false" customHeight="false" outlineLevel="0" collapsed="false">
      <c r="A48" s="29" t="n">
        <v>8</v>
      </c>
      <c r="B48" s="30" t="n">
        <f aca="false">F48+J48+N48+R48+V48+Z48</f>
        <v>64912.04</v>
      </c>
      <c r="C48" s="30" t="n">
        <f aca="false">$C$14-E48</f>
        <v>0</v>
      </c>
      <c r="D48" s="30" t="n">
        <f aca="false">G48+K48+O48+S48+W48+AA48</f>
        <v>1216.12</v>
      </c>
      <c r="E48" s="30" t="n">
        <f aca="false">H48+I48+L48+M48+P48+Q48+T48+U48+X48+Y48+AB48+AC48</f>
        <v>8050</v>
      </c>
      <c r="F48" s="30" t="n">
        <f aca="false">ROUND(F47+G48-H48-I48,2)</f>
        <v>33744.74</v>
      </c>
      <c r="G48" s="30" t="n">
        <f aca="false">ROUND(F47*$E$18/12,2)</f>
        <v>776.42</v>
      </c>
      <c r="H48" s="30" t="n">
        <f aca="false">MIN($D$18,F47+G48)</f>
        <v>2800</v>
      </c>
      <c r="I48" s="30" t="n">
        <f aca="false">MAX(0,MIN($C$14-(H48+L48+P48+T48+X48+AB48)-0,F47+G48-H48))</f>
        <v>1500</v>
      </c>
      <c r="J48" s="30" t="n">
        <f aca="false">ROUND(J47+K48-L48-M48,2)</f>
        <v>31167.3</v>
      </c>
      <c r="K48" s="30" t="n">
        <f aca="false">ROUND(J47*$E$19/12,2)</f>
        <v>439.7</v>
      </c>
      <c r="L48" s="30" t="n">
        <f aca="false">MIN($D$19,J47+K48)</f>
        <v>2250</v>
      </c>
      <c r="M48" s="30" t="n">
        <f aca="false">MAX(0,MIN($C$14-(H48+L48+P48+T48+X48+AB48)-(I48),J47+K48-L48))</f>
        <v>0</v>
      </c>
      <c r="N48" s="30" t="n">
        <f aca="false">ROUND(N47+O48-P48-Q48,2)</f>
        <v>0</v>
      </c>
      <c r="O48" s="30" t="n">
        <f aca="false">ROUND(N47*$E$20/12,2)</f>
        <v>0</v>
      </c>
      <c r="P48" s="30" t="n">
        <f aca="false">MIN($D$20,N47+O48)</f>
        <v>1500</v>
      </c>
      <c r="Q48" s="30" t="n">
        <f aca="false">MAX(0,MIN($C$14-(H48+L48+P48+T48+X48+AB48)-(I48+M48),N47+O48-P48))</f>
        <v>0</v>
      </c>
      <c r="R48" s="30" t="n">
        <f aca="false">ROUND(R47+S48-T48-U48,2)</f>
        <v>0</v>
      </c>
      <c r="S48" s="30" t="n">
        <f aca="false">ROUND(R47*$E$21/12,2)</f>
        <v>0</v>
      </c>
      <c r="T48" s="30" t="n">
        <f aca="false">MIN($D$21,R47+S48)</f>
        <v>0</v>
      </c>
      <c r="U48" s="30" t="n">
        <f aca="false">MAX(0,MIN($C$14-(H48+L48+P48+T48+X48+AB48)-(I48+M48+Q48),R47+S48-T48))</f>
        <v>0</v>
      </c>
      <c r="V48" s="30" t="n">
        <f aca="false">ROUND(V47+W48-X48-Y48,2)</f>
        <v>0</v>
      </c>
      <c r="W48" s="30" t="n">
        <f aca="false">ROUND(V47*$E$22/12,2)</f>
        <v>0</v>
      </c>
      <c r="X48" s="30" t="n">
        <f aca="false">MIN($D$22,V47+W48)</f>
        <v>0</v>
      </c>
      <c r="Y48" s="30" t="n">
        <f aca="false">MAX(0,MIN($C$14-(H48+L48+P48+T48+X48+AB48)-(I48+M48+Q48+U48),V47+W48-X48))</f>
        <v>0</v>
      </c>
      <c r="Z48" s="30" t="n">
        <f aca="false">ROUND(Z47+AA48-AB48-AC48,2)</f>
        <v>0</v>
      </c>
      <c r="AA48" s="30" t="n">
        <f aca="false">ROUND(Z47*$E$23/12,2)</f>
        <v>0</v>
      </c>
      <c r="AB48" s="30" t="n">
        <f aca="false">MIN($D$23,Z47+AA48)</f>
        <v>0</v>
      </c>
      <c r="AC48" s="30" t="n">
        <f aca="false">MAX(0,MIN($C$14-(H48+L48+P48+T48+X48+AB48)-(I48+M48+Q48+U48+Y48),Z47+AA48-AB48))</f>
        <v>0</v>
      </c>
    </row>
    <row r="49" customFormat="false" ht="15" hidden="false" customHeight="false" outlineLevel="0" collapsed="false">
      <c r="A49" s="29" t="n">
        <v>9</v>
      </c>
      <c r="B49" s="30" t="n">
        <f aca="false">F49+J49+N49+R49+V49+Z49</f>
        <v>57980.62</v>
      </c>
      <c r="C49" s="30" t="n">
        <f aca="false">$C$14-E49</f>
        <v>0</v>
      </c>
      <c r="D49" s="30" t="n">
        <f aca="false">G49+K49+O49+S49+W49+AA49</f>
        <v>1118.58</v>
      </c>
      <c r="E49" s="30" t="n">
        <f aca="false">H49+I49+L49+M49+P49+Q49+T49+U49+X49+Y49+AB49+AC49</f>
        <v>8050</v>
      </c>
      <c r="F49" s="30" t="n">
        <f aca="false">ROUND(F48+G49-H49-I49,2)</f>
        <v>28647.76</v>
      </c>
      <c r="G49" s="30" t="n">
        <f aca="false">ROUND(F48*$E$18/12,2)</f>
        <v>703.02</v>
      </c>
      <c r="H49" s="30" t="n">
        <f aca="false">MIN($D$18,F48+G49)</f>
        <v>2800</v>
      </c>
      <c r="I49" s="30" t="n">
        <f aca="false">MAX(0,MIN($C$14-(H49+L49+P49+T49+X49+AB49)-0,F48+G49-H49))</f>
        <v>3000</v>
      </c>
      <c r="J49" s="30" t="n">
        <f aca="false">ROUND(J48+K49-L49-M49,2)</f>
        <v>29332.86</v>
      </c>
      <c r="K49" s="30" t="n">
        <f aca="false">ROUND(J48*$E$19/12,2)</f>
        <v>415.56</v>
      </c>
      <c r="L49" s="30" t="n">
        <f aca="false">MIN($D$19,J48+K49)</f>
        <v>2250</v>
      </c>
      <c r="M49" s="30" t="n">
        <f aca="false">MAX(0,MIN($C$14-(H49+L49+P49+T49+X49+AB49)-(I49),J48+K49-L49))</f>
        <v>0</v>
      </c>
      <c r="N49" s="30" t="n">
        <f aca="false">ROUND(N48+O49-P49-Q49,2)</f>
        <v>0</v>
      </c>
      <c r="O49" s="30" t="n">
        <f aca="false">ROUND(N48*$E$20/12,2)</f>
        <v>0</v>
      </c>
      <c r="P49" s="30" t="n">
        <f aca="false">MIN($D$20,N48+O49)</f>
        <v>0</v>
      </c>
      <c r="Q49" s="30" t="n">
        <f aca="false">MAX(0,MIN($C$14-(H49+L49+P49+T49+X49+AB49)-(I49+M49),N48+O49-P49))</f>
        <v>0</v>
      </c>
      <c r="R49" s="30" t="n">
        <f aca="false">ROUND(R48+S49-T49-U49,2)</f>
        <v>0</v>
      </c>
      <c r="S49" s="30" t="n">
        <f aca="false">ROUND(R48*$E$21/12,2)</f>
        <v>0</v>
      </c>
      <c r="T49" s="30" t="n">
        <f aca="false">MIN($D$21,R48+S49)</f>
        <v>0</v>
      </c>
      <c r="U49" s="30" t="n">
        <f aca="false">MAX(0,MIN($C$14-(H49+L49+P49+T49+X49+AB49)-(I49+M49+Q49),R48+S49-T49))</f>
        <v>0</v>
      </c>
      <c r="V49" s="30" t="n">
        <f aca="false">ROUND(V48+W49-X49-Y49,2)</f>
        <v>0</v>
      </c>
      <c r="W49" s="30" t="n">
        <f aca="false">ROUND(V48*$E$22/12,2)</f>
        <v>0</v>
      </c>
      <c r="X49" s="30" t="n">
        <f aca="false">MIN($D$22,V48+W49)</f>
        <v>0</v>
      </c>
      <c r="Y49" s="30" t="n">
        <f aca="false">MAX(0,MIN($C$14-(H49+L49+P49+T49+X49+AB49)-(I49+M49+Q49+U49),V48+W49-X49))</f>
        <v>0</v>
      </c>
      <c r="Z49" s="30" t="n">
        <f aca="false">ROUND(Z48+AA49-AB49-AC49,2)</f>
        <v>0</v>
      </c>
      <c r="AA49" s="30" t="n">
        <f aca="false">ROUND(Z48*$E$23/12,2)</f>
        <v>0</v>
      </c>
      <c r="AB49" s="30" t="n">
        <f aca="false">MIN($D$23,Z48+AA49)</f>
        <v>0</v>
      </c>
      <c r="AC49" s="30" t="n">
        <f aca="false">MAX(0,MIN($C$14-(H49+L49+P49+T49+X49+AB49)-(I49+M49+Q49+U49+Y49),Z48+AA49-AB49))</f>
        <v>0</v>
      </c>
    </row>
    <row r="50" customFormat="false" ht="15" hidden="false" customHeight="false" outlineLevel="0" collapsed="false">
      <c r="A50" s="29" t="n">
        <v>10</v>
      </c>
      <c r="B50" s="30" t="n">
        <f aca="false">F50+J50+N50+R50+V50+Z50</f>
        <v>50918.55</v>
      </c>
      <c r="C50" s="30" t="n">
        <f aca="false">$C$14-E50</f>
        <v>0</v>
      </c>
      <c r="D50" s="30" t="n">
        <f aca="false">G50+K50+O50+S50+W50+AA50</f>
        <v>987.93</v>
      </c>
      <c r="E50" s="30" t="n">
        <f aca="false">H50+I50+L50+M50+P50+Q50+T50+U50+X50+Y50+AB50+AC50</f>
        <v>8050</v>
      </c>
      <c r="F50" s="30" t="n">
        <f aca="false">ROUND(F49+G50-H50-I50,2)</f>
        <v>23444.59</v>
      </c>
      <c r="G50" s="30" t="n">
        <f aca="false">ROUND(F49*$E$18/12,2)</f>
        <v>596.83</v>
      </c>
      <c r="H50" s="30" t="n">
        <f aca="false">MIN($D$18,F49+G50)</f>
        <v>2800</v>
      </c>
      <c r="I50" s="30" t="n">
        <f aca="false">MAX(0,MIN($C$14-(H50+L50+P50+T50+X50+AB50)-0,F49+G50-H50))</f>
        <v>3000</v>
      </c>
      <c r="J50" s="30" t="n">
        <f aca="false">ROUND(J49+K50-L50-M50,2)</f>
        <v>27473.96</v>
      </c>
      <c r="K50" s="30" t="n">
        <f aca="false">ROUND(J49*$E$19/12,2)</f>
        <v>391.1</v>
      </c>
      <c r="L50" s="30" t="n">
        <f aca="false">MIN($D$19,J49+K50)</f>
        <v>2250</v>
      </c>
      <c r="M50" s="30" t="n">
        <f aca="false">MAX(0,MIN($C$14-(H50+L50+P50+T50+X50+AB50)-(I50),J49+K50-L50))</f>
        <v>0</v>
      </c>
      <c r="N50" s="30" t="n">
        <f aca="false">ROUND(N49+O50-P50-Q50,2)</f>
        <v>0</v>
      </c>
      <c r="O50" s="30" t="n">
        <f aca="false">ROUND(N49*$E$20/12,2)</f>
        <v>0</v>
      </c>
      <c r="P50" s="30" t="n">
        <f aca="false">MIN($D$20,N49+O50)</f>
        <v>0</v>
      </c>
      <c r="Q50" s="30" t="n">
        <f aca="false">MAX(0,MIN($C$14-(H50+L50+P50+T50+X50+AB50)-(I50+M50),N49+O50-P50))</f>
        <v>0</v>
      </c>
      <c r="R50" s="30" t="n">
        <f aca="false">ROUND(R49+S50-T50-U50,2)</f>
        <v>0</v>
      </c>
      <c r="S50" s="30" t="n">
        <f aca="false">ROUND(R49*$E$21/12,2)</f>
        <v>0</v>
      </c>
      <c r="T50" s="30" t="n">
        <f aca="false">MIN($D$21,R49+S50)</f>
        <v>0</v>
      </c>
      <c r="U50" s="30" t="n">
        <f aca="false">MAX(0,MIN($C$14-(H50+L50+P50+T50+X50+AB50)-(I50+M50+Q50),R49+S50-T50))</f>
        <v>0</v>
      </c>
      <c r="V50" s="30" t="n">
        <f aca="false">ROUND(V49+W50-X50-Y50,2)</f>
        <v>0</v>
      </c>
      <c r="W50" s="30" t="n">
        <f aca="false">ROUND(V49*$E$22/12,2)</f>
        <v>0</v>
      </c>
      <c r="X50" s="30" t="n">
        <f aca="false">MIN($D$22,V49+W50)</f>
        <v>0</v>
      </c>
      <c r="Y50" s="30" t="n">
        <f aca="false">MAX(0,MIN($C$14-(H50+L50+P50+T50+X50+AB50)-(I50+M50+Q50+U50),V49+W50-X50))</f>
        <v>0</v>
      </c>
      <c r="Z50" s="30" t="n">
        <f aca="false">ROUND(Z49+AA50-AB50-AC50,2)</f>
        <v>0</v>
      </c>
      <c r="AA50" s="30" t="n">
        <f aca="false">ROUND(Z49*$E$23/12,2)</f>
        <v>0</v>
      </c>
      <c r="AB50" s="30" t="n">
        <f aca="false">MIN($D$23,Z49+AA50)</f>
        <v>0</v>
      </c>
      <c r="AC50" s="30" t="n">
        <f aca="false">MAX(0,MIN($C$14-(H50+L50+P50+T50+X50+AB50)-(I50+M50+Q50+U50+Y50),Z49+AA50-AB50))</f>
        <v>0</v>
      </c>
    </row>
    <row r="51" customFormat="false" ht="15" hidden="false" customHeight="false" outlineLevel="0" collapsed="false">
      <c r="A51" s="29" t="n">
        <v>11</v>
      </c>
      <c r="B51" s="30" t="n">
        <f aca="false">F51+J51+N51+R51+V51+Z51</f>
        <v>43723.3</v>
      </c>
      <c r="C51" s="30" t="n">
        <f aca="false">$C$14-E51</f>
        <v>0</v>
      </c>
      <c r="D51" s="30" t="n">
        <f aca="false">G51+K51+O51+S51+W51+AA51</f>
        <v>854.75</v>
      </c>
      <c r="E51" s="30" t="n">
        <f aca="false">H51+I51+L51+M51+P51+Q51+T51+U51+X51+Y51+AB51+AC51</f>
        <v>8050</v>
      </c>
      <c r="F51" s="30" t="n">
        <f aca="false">ROUND(F50+G51-H51-I51,2)</f>
        <v>18133.02</v>
      </c>
      <c r="G51" s="30" t="n">
        <f aca="false">ROUND(F50*$E$18/12,2)</f>
        <v>488.43</v>
      </c>
      <c r="H51" s="30" t="n">
        <f aca="false">MIN($D$18,F50+G51)</f>
        <v>2800</v>
      </c>
      <c r="I51" s="30" t="n">
        <f aca="false">MAX(0,MIN($C$14-(H51+L51+P51+T51+X51+AB51)-0,F50+G51-H51))</f>
        <v>3000</v>
      </c>
      <c r="J51" s="30" t="n">
        <f aca="false">ROUND(J50+K51-L51-M51,2)</f>
        <v>25590.28</v>
      </c>
      <c r="K51" s="30" t="n">
        <f aca="false">ROUND(J50*$E$19/12,2)</f>
        <v>366.32</v>
      </c>
      <c r="L51" s="30" t="n">
        <f aca="false">MIN($D$19,J50+K51)</f>
        <v>2250</v>
      </c>
      <c r="M51" s="30" t="n">
        <f aca="false">MAX(0,MIN($C$14-(H51+L51+P51+T51+X51+AB51)-(I51),J50+K51-L51))</f>
        <v>0</v>
      </c>
      <c r="N51" s="30" t="n">
        <f aca="false">ROUND(N50+O51-P51-Q51,2)</f>
        <v>0</v>
      </c>
      <c r="O51" s="30" t="n">
        <f aca="false">ROUND(N50*$E$20/12,2)</f>
        <v>0</v>
      </c>
      <c r="P51" s="30" t="n">
        <f aca="false">MIN($D$20,N50+O51)</f>
        <v>0</v>
      </c>
      <c r="Q51" s="30" t="n">
        <f aca="false">MAX(0,MIN($C$14-(H51+L51+P51+T51+X51+AB51)-(I51+M51),N50+O51-P51))</f>
        <v>0</v>
      </c>
      <c r="R51" s="30" t="n">
        <f aca="false">ROUND(R50+S51-T51-U51,2)</f>
        <v>0</v>
      </c>
      <c r="S51" s="30" t="n">
        <f aca="false">ROUND(R50*$E$21/12,2)</f>
        <v>0</v>
      </c>
      <c r="T51" s="30" t="n">
        <f aca="false">MIN($D$21,R50+S51)</f>
        <v>0</v>
      </c>
      <c r="U51" s="30" t="n">
        <f aca="false">MAX(0,MIN($C$14-(H51+L51+P51+T51+X51+AB51)-(I51+M51+Q51),R50+S51-T51))</f>
        <v>0</v>
      </c>
      <c r="V51" s="30" t="n">
        <f aca="false">ROUND(V50+W51-X51-Y51,2)</f>
        <v>0</v>
      </c>
      <c r="W51" s="30" t="n">
        <f aca="false">ROUND(V50*$E$22/12,2)</f>
        <v>0</v>
      </c>
      <c r="X51" s="30" t="n">
        <f aca="false">MIN($D$22,V50+W51)</f>
        <v>0</v>
      </c>
      <c r="Y51" s="30" t="n">
        <f aca="false">MAX(0,MIN($C$14-(H51+L51+P51+T51+X51+AB51)-(I51+M51+Q51+U51),V50+W51-X51))</f>
        <v>0</v>
      </c>
      <c r="Z51" s="30" t="n">
        <f aca="false">ROUND(Z50+AA51-AB51-AC51,2)</f>
        <v>0</v>
      </c>
      <c r="AA51" s="30" t="n">
        <f aca="false">ROUND(Z50*$E$23/12,2)</f>
        <v>0</v>
      </c>
      <c r="AB51" s="30" t="n">
        <f aca="false">MIN($D$23,Z50+AA51)</f>
        <v>0</v>
      </c>
      <c r="AC51" s="30" t="n">
        <f aca="false">MAX(0,MIN($C$14-(H51+L51+P51+T51+X51+AB51)-(I51+M51+Q51+U51+Y51),Z50+AA51-AB51))</f>
        <v>0</v>
      </c>
    </row>
    <row r="52" customFormat="false" ht="15" hidden="false" customHeight="false" outlineLevel="0" collapsed="false">
      <c r="A52" s="29" t="n">
        <v>12</v>
      </c>
      <c r="B52" s="30" t="n">
        <f aca="false">F52+J52+N52+R52+V52+Z52</f>
        <v>36392.27</v>
      </c>
      <c r="C52" s="30" t="n">
        <f aca="false">$C$14-E52</f>
        <v>0</v>
      </c>
      <c r="D52" s="30" t="n">
        <f aca="false">G52+K52+O52+S52+W52+AA52</f>
        <v>718.97</v>
      </c>
      <c r="E52" s="30" t="n">
        <f aca="false">H52+I52+L52+M52+P52+Q52+T52+U52+X52+Y52+AB52+AC52</f>
        <v>8050</v>
      </c>
      <c r="F52" s="30" t="n">
        <f aca="false">ROUND(F51+G52-H52-I52,2)</f>
        <v>12710.79</v>
      </c>
      <c r="G52" s="30" t="n">
        <f aca="false">ROUND(F51*$E$18/12,2)</f>
        <v>377.77</v>
      </c>
      <c r="H52" s="30" t="n">
        <f aca="false">MIN($D$18,F51+G52)</f>
        <v>2800</v>
      </c>
      <c r="I52" s="30" t="n">
        <f aca="false">MAX(0,MIN($C$14-(H52+L52+P52+T52+X52+AB52)-0,F51+G52-H52))</f>
        <v>3000</v>
      </c>
      <c r="J52" s="30" t="n">
        <f aca="false">ROUND(J51+K52-L52-M52,2)</f>
        <v>23681.48</v>
      </c>
      <c r="K52" s="30" t="n">
        <f aca="false">ROUND(J51*$E$19/12,2)</f>
        <v>341.2</v>
      </c>
      <c r="L52" s="30" t="n">
        <f aca="false">MIN($D$19,J51+K52)</f>
        <v>2250</v>
      </c>
      <c r="M52" s="30" t="n">
        <f aca="false">MAX(0,MIN($C$14-(H52+L52+P52+T52+X52+AB52)-(I52),J51+K52-L52))</f>
        <v>0</v>
      </c>
      <c r="N52" s="30" t="n">
        <f aca="false">ROUND(N51+O52-P52-Q52,2)</f>
        <v>0</v>
      </c>
      <c r="O52" s="30" t="n">
        <f aca="false">ROUND(N51*$E$20/12,2)</f>
        <v>0</v>
      </c>
      <c r="P52" s="30" t="n">
        <f aca="false">MIN($D$20,N51+O52)</f>
        <v>0</v>
      </c>
      <c r="Q52" s="30" t="n">
        <f aca="false">MAX(0,MIN($C$14-(H52+L52+P52+T52+X52+AB52)-(I52+M52),N51+O52-P52))</f>
        <v>0</v>
      </c>
      <c r="R52" s="30" t="n">
        <f aca="false">ROUND(R51+S52-T52-U52,2)</f>
        <v>0</v>
      </c>
      <c r="S52" s="30" t="n">
        <f aca="false">ROUND(R51*$E$21/12,2)</f>
        <v>0</v>
      </c>
      <c r="T52" s="30" t="n">
        <f aca="false">MIN($D$21,R51+S52)</f>
        <v>0</v>
      </c>
      <c r="U52" s="30" t="n">
        <f aca="false">MAX(0,MIN($C$14-(H52+L52+P52+T52+X52+AB52)-(I52+M52+Q52),R51+S52-T52))</f>
        <v>0</v>
      </c>
      <c r="V52" s="30" t="n">
        <f aca="false">ROUND(V51+W52-X52-Y52,2)</f>
        <v>0</v>
      </c>
      <c r="W52" s="30" t="n">
        <f aca="false">ROUND(V51*$E$22/12,2)</f>
        <v>0</v>
      </c>
      <c r="X52" s="30" t="n">
        <f aca="false">MIN($D$22,V51+W52)</f>
        <v>0</v>
      </c>
      <c r="Y52" s="30" t="n">
        <f aca="false">MAX(0,MIN($C$14-(H52+L52+P52+T52+X52+AB52)-(I52+M52+Q52+U52),V51+W52-X52))</f>
        <v>0</v>
      </c>
      <c r="Z52" s="30" t="n">
        <f aca="false">ROUND(Z51+AA52-AB52-AC52,2)</f>
        <v>0</v>
      </c>
      <c r="AA52" s="30" t="n">
        <f aca="false">ROUND(Z51*$E$23/12,2)</f>
        <v>0</v>
      </c>
      <c r="AB52" s="30" t="n">
        <f aca="false">MIN($D$23,Z51+AA52)</f>
        <v>0</v>
      </c>
      <c r="AC52" s="30" t="n">
        <f aca="false">MAX(0,MIN($C$14-(H52+L52+P52+T52+X52+AB52)-(I52+M52+Q52+U52+Y52),Z51+AA52-AB52))</f>
        <v>0</v>
      </c>
    </row>
    <row r="53" customFormat="false" ht="15" hidden="false" customHeight="false" outlineLevel="0" collapsed="false">
      <c r="A53" s="29" t="n">
        <v>13</v>
      </c>
      <c r="B53" s="30" t="n">
        <f aca="false">F53+J53+N53+R53+V53+Z53</f>
        <v>28922.83</v>
      </c>
      <c r="C53" s="30" t="n">
        <f aca="false">$C$14-E53</f>
        <v>0</v>
      </c>
      <c r="D53" s="30" t="n">
        <f aca="false">G53+K53+O53+S53+W53+AA53</f>
        <v>580.56</v>
      </c>
      <c r="E53" s="30" t="n">
        <f aca="false">H53+I53+L53+M53+P53+Q53+T53+U53+X53+Y53+AB53+AC53</f>
        <v>8050</v>
      </c>
      <c r="F53" s="30" t="n">
        <f aca="false">ROUND(F52+G53-H53-I53,2)</f>
        <v>7175.6</v>
      </c>
      <c r="G53" s="30" t="n">
        <f aca="false">ROUND(F52*$E$18/12,2)</f>
        <v>264.81</v>
      </c>
      <c r="H53" s="30" t="n">
        <f aca="false">MIN($D$18,F52+G53)</f>
        <v>2800</v>
      </c>
      <c r="I53" s="30" t="n">
        <f aca="false">MAX(0,MIN($C$14-(H53+L53+P53+T53+X53+AB53)-0,F52+G53-H53))</f>
        <v>3000</v>
      </c>
      <c r="J53" s="30" t="n">
        <f aca="false">ROUND(J52+K53-L53-M53,2)</f>
        <v>21747.23</v>
      </c>
      <c r="K53" s="30" t="n">
        <f aca="false">ROUND(J52*$E$19/12,2)</f>
        <v>315.75</v>
      </c>
      <c r="L53" s="30" t="n">
        <f aca="false">MIN($D$19,J52+K53)</f>
        <v>2250</v>
      </c>
      <c r="M53" s="30" t="n">
        <f aca="false">MAX(0,MIN($C$14-(H53+L53+P53+T53+X53+AB53)-(I53),J52+K53-L53))</f>
        <v>0</v>
      </c>
      <c r="N53" s="30" t="n">
        <f aca="false">ROUND(N52+O53-P53-Q53,2)</f>
        <v>0</v>
      </c>
      <c r="O53" s="30" t="n">
        <f aca="false">ROUND(N52*$E$20/12,2)</f>
        <v>0</v>
      </c>
      <c r="P53" s="30" t="n">
        <f aca="false">MIN($D$20,N52+O53)</f>
        <v>0</v>
      </c>
      <c r="Q53" s="30" t="n">
        <f aca="false">MAX(0,MIN($C$14-(H53+L53+P53+T53+X53+AB53)-(I53+M53),N52+O53-P53))</f>
        <v>0</v>
      </c>
      <c r="R53" s="30" t="n">
        <f aca="false">ROUND(R52+S53-T53-U53,2)</f>
        <v>0</v>
      </c>
      <c r="S53" s="30" t="n">
        <f aca="false">ROUND(R52*$E$21/12,2)</f>
        <v>0</v>
      </c>
      <c r="T53" s="30" t="n">
        <f aca="false">MIN($D$21,R52+S53)</f>
        <v>0</v>
      </c>
      <c r="U53" s="30" t="n">
        <f aca="false">MAX(0,MIN($C$14-(H53+L53+P53+T53+X53+AB53)-(I53+M53+Q53),R52+S53-T53))</f>
        <v>0</v>
      </c>
      <c r="V53" s="30" t="n">
        <f aca="false">ROUND(V52+W53-X53-Y53,2)</f>
        <v>0</v>
      </c>
      <c r="W53" s="30" t="n">
        <f aca="false">ROUND(V52*$E$22/12,2)</f>
        <v>0</v>
      </c>
      <c r="X53" s="30" t="n">
        <f aca="false">MIN($D$22,V52+W53)</f>
        <v>0</v>
      </c>
      <c r="Y53" s="30" t="n">
        <f aca="false">MAX(0,MIN($C$14-(H53+L53+P53+T53+X53+AB53)-(I53+M53+Q53+U53),V52+W53-X53))</f>
        <v>0</v>
      </c>
      <c r="Z53" s="30" t="n">
        <f aca="false">ROUND(Z52+AA53-AB53-AC53,2)</f>
        <v>0</v>
      </c>
      <c r="AA53" s="30" t="n">
        <f aca="false">ROUND(Z52*$E$23/12,2)</f>
        <v>0</v>
      </c>
      <c r="AB53" s="30" t="n">
        <f aca="false">MIN($D$23,Z52+AA53)</f>
        <v>0</v>
      </c>
      <c r="AC53" s="30" t="n">
        <f aca="false">MAX(0,MIN($C$14-(H53+L53+P53+T53+X53+AB53)-(I53+M53+Q53+U53+Y53),Z52+AA53-AB53))</f>
        <v>0</v>
      </c>
    </row>
    <row r="54" customFormat="false" ht="15" hidden="false" customHeight="false" outlineLevel="0" collapsed="false">
      <c r="A54" s="29" t="n">
        <v>14</v>
      </c>
      <c r="B54" s="30" t="n">
        <f aca="false">F54+J54+N54+R54+V54+Z54</f>
        <v>21312.28</v>
      </c>
      <c r="C54" s="30" t="n">
        <f aca="false">$C$14-E54</f>
        <v>0</v>
      </c>
      <c r="D54" s="30" t="n">
        <f aca="false">G54+K54+O54+S54+W54+AA54</f>
        <v>439.45</v>
      </c>
      <c r="E54" s="30" t="n">
        <f aca="false">H54+I54+L54+M54+P54+Q54+T54+U54+X54+Y54+AB54+AC54</f>
        <v>8050</v>
      </c>
      <c r="F54" s="30" t="n">
        <f aca="false">ROUND(F53+G54-H54-I54,2)</f>
        <v>1525.09</v>
      </c>
      <c r="G54" s="30" t="n">
        <f aca="false">ROUND(F53*$E$18/12,2)</f>
        <v>149.49</v>
      </c>
      <c r="H54" s="30" t="n">
        <f aca="false">MIN($D$18,F53+G54)</f>
        <v>2800</v>
      </c>
      <c r="I54" s="30" t="n">
        <f aca="false">MAX(0,MIN($C$14-(H54+L54+P54+T54+X54+AB54)-0,F53+G54-H54))</f>
        <v>3000</v>
      </c>
      <c r="J54" s="30" t="n">
        <f aca="false">ROUND(J53+K54-L54-M54,2)</f>
        <v>19787.19</v>
      </c>
      <c r="K54" s="30" t="n">
        <f aca="false">ROUND(J53*$E$19/12,2)</f>
        <v>289.96</v>
      </c>
      <c r="L54" s="30" t="n">
        <f aca="false">MIN($D$19,J53+K54)</f>
        <v>2250</v>
      </c>
      <c r="M54" s="30" t="n">
        <f aca="false">MAX(0,MIN($C$14-(H54+L54+P54+T54+X54+AB54)-(I54),J53+K54-L54))</f>
        <v>0</v>
      </c>
      <c r="N54" s="30" t="n">
        <f aca="false">ROUND(N53+O54-P54-Q54,2)</f>
        <v>0</v>
      </c>
      <c r="O54" s="30" t="n">
        <f aca="false">ROUND(N53*$E$20/12,2)</f>
        <v>0</v>
      </c>
      <c r="P54" s="30" t="n">
        <f aca="false">MIN($D$20,N53+O54)</f>
        <v>0</v>
      </c>
      <c r="Q54" s="30" t="n">
        <f aca="false">MAX(0,MIN($C$14-(H54+L54+P54+T54+X54+AB54)-(I54+M54),N53+O54-P54))</f>
        <v>0</v>
      </c>
      <c r="R54" s="30" t="n">
        <f aca="false">ROUND(R53+S54-T54-U54,2)</f>
        <v>0</v>
      </c>
      <c r="S54" s="30" t="n">
        <f aca="false">ROUND(R53*$E$21/12,2)</f>
        <v>0</v>
      </c>
      <c r="T54" s="30" t="n">
        <f aca="false">MIN($D$21,R53+S54)</f>
        <v>0</v>
      </c>
      <c r="U54" s="30" t="n">
        <f aca="false">MAX(0,MIN($C$14-(H54+L54+P54+T54+X54+AB54)-(I54+M54+Q54),R53+S54-T54))</f>
        <v>0</v>
      </c>
      <c r="V54" s="30" t="n">
        <f aca="false">ROUND(V53+W54-X54-Y54,2)</f>
        <v>0</v>
      </c>
      <c r="W54" s="30" t="n">
        <f aca="false">ROUND(V53*$E$22/12,2)</f>
        <v>0</v>
      </c>
      <c r="X54" s="30" t="n">
        <f aca="false">MIN($D$22,V53+W54)</f>
        <v>0</v>
      </c>
      <c r="Y54" s="30" t="n">
        <f aca="false">MAX(0,MIN($C$14-(H54+L54+P54+T54+X54+AB54)-(I54+M54+Q54+U54),V53+W54-X54))</f>
        <v>0</v>
      </c>
      <c r="Z54" s="30" t="n">
        <f aca="false">ROUND(Z53+AA54-AB54-AC54,2)</f>
        <v>0</v>
      </c>
      <c r="AA54" s="30" t="n">
        <f aca="false">ROUND(Z53*$E$23/12,2)</f>
        <v>0</v>
      </c>
      <c r="AB54" s="30" t="n">
        <f aca="false">MIN($D$23,Z53+AA54)</f>
        <v>0</v>
      </c>
      <c r="AC54" s="30" t="n">
        <f aca="false">MAX(0,MIN($C$14-(H54+L54+P54+T54+X54+AB54)-(I54+M54+Q54+U54+Y54),Z53+AA54-AB54))</f>
        <v>0</v>
      </c>
    </row>
    <row r="55" customFormat="false" ht="15" hidden="false" customHeight="false" outlineLevel="0" collapsed="false">
      <c r="A55" s="29" t="n">
        <v>15</v>
      </c>
      <c r="B55" s="30" t="n">
        <f aca="false">F55+J55+N55+R55+V55+Z55</f>
        <v>13557.88</v>
      </c>
      <c r="C55" s="30" t="n">
        <f aca="false">$C$14-E55</f>
        <v>0</v>
      </c>
      <c r="D55" s="30" t="n">
        <f aca="false">G55+K55+O55+S55+W55+AA55</f>
        <v>295.6</v>
      </c>
      <c r="E55" s="30" t="n">
        <f aca="false">H55+I55+L55+M55+P55+Q55+T55+U55+X55+Y55+AB55+AC55</f>
        <v>8050</v>
      </c>
      <c r="F55" s="30" t="n">
        <f aca="false">ROUND(F54+G55-H55-I55,2)</f>
        <v>0</v>
      </c>
      <c r="G55" s="30" t="n">
        <f aca="false">ROUND(F54*$E$18/12,2)</f>
        <v>31.77</v>
      </c>
      <c r="H55" s="30" t="n">
        <f aca="false">MIN($D$18,F54+G55)</f>
        <v>1556.86</v>
      </c>
      <c r="I55" s="30" t="n">
        <f aca="false">MAX(0,MIN($C$14-(H55+L55+P55+T55+X55+AB55)-0,F54+G55-H55))</f>
        <v>0</v>
      </c>
      <c r="J55" s="30" t="n">
        <f aca="false">ROUND(J54+K55-L55-M55,2)</f>
        <v>13557.88</v>
      </c>
      <c r="K55" s="30" t="n">
        <f aca="false">ROUND(J54*$E$19/12,2)</f>
        <v>263.83</v>
      </c>
      <c r="L55" s="30" t="n">
        <f aca="false">MIN($D$19,J54+K55)</f>
        <v>2250</v>
      </c>
      <c r="M55" s="30" t="n">
        <f aca="false">MAX(0,MIN($C$14-(H55+L55+P55+T55+X55+AB55)-(I55),J54+K55-L55))</f>
        <v>4243.14</v>
      </c>
      <c r="N55" s="30" t="n">
        <f aca="false">ROUND(N54+O55-P55-Q55,2)</f>
        <v>0</v>
      </c>
      <c r="O55" s="30" t="n">
        <f aca="false">ROUND(N54*$E$20/12,2)</f>
        <v>0</v>
      </c>
      <c r="P55" s="30" t="n">
        <f aca="false">MIN($D$20,N54+O55)</f>
        <v>0</v>
      </c>
      <c r="Q55" s="30" t="n">
        <f aca="false">MAX(0,MIN($C$14-(H55+L55+P55+T55+X55+AB55)-(I55+M55),N54+O55-P55))</f>
        <v>0</v>
      </c>
      <c r="R55" s="30" t="n">
        <f aca="false">ROUND(R54+S55-T55-U55,2)</f>
        <v>0</v>
      </c>
      <c r="S55" s="30" t="n">
        <f aca="false">ROUND(R54*$E$21/12,2)</f>
        <v>0</v>
      </c>
      <c r="T55" s="30" t="n">
        <f aca="false">MIN($D$21,R54+S55)</f>
        <v>0</v>
      </c>
      <c r="U55" s="30" t="n">
        <f aca="false">MAX(0,MIN($C$14-(H55+L55+P55+T55+X55+AB55)-(I55+M55+Q55),R54+S55-T55))</f>
        <v>0</v>
      </c>
      <c r="V55" s="30" t="n">
        <f aca="false">ROUND(V54+W55-X55-Y55,2)</f>
        <v>0</v>
      </c>
      <c r="W55" s="30" t="n">
        <f aca="false">ROUND(V54*$E$22/12,2)</f>
        <v>0</v>
      </c>
      <c r="X55" s="30" t="n">
        <f aca="false">MIN($D$22,V54+W55)</f>
        <v>0</v>
      </c>
      <c r="Y55" s="30" t="n">
        <f aca="false">MAX(0,MIN($C$14-(H55+L55+P55+T55+X55+AB55)-(I55+M55+Q55+U55),V54+W55-X55))</f>
        <v>0</v>
      </c>
      <c r="Z55" s="30" t="n">
        <f aca="false">ROUND(Z54+AA55-AB55-AC55,2)</f>
        <v>0</v>
      </c>
      <c r="AA55" s="30" t="n">
        <f aca="false">ROUND(Z54*$E$23/12,2)</f>
        <v>0</v>
      </c>
      <c r="AB55" s="30" t="n">
        <f aca="false">MIN($D$23,Z54+AA55)</f>
        <v>0</v>
      </c>
      <c r="AC55" s="30" t="n">
        <f aca="false">MAX(0,MIN($C$14-(H55+L55+P55+T55+X55+AB55)-(I55+M55+Q55+U55+Y55),Z54+AA55-AB55))</f>
        <v>0</v>
      </c>
    </row>
    <row r="56" customFormat="false" ht="15" hidden="false" customHeight="false" outlineLevel="0" collapsed="false">
      <c r="A56" s="29" t="n">
        <v>16</v>
      </c>
      <c r="B56" s="30" t="n">
        <f aca="false">F56+J56+N56+R56+V56+Z56</f>
        <v>5688.65</v>
      </c>
      <c r="C56" s="30" t="n">
        <f aca="false">$C$14-E56</f>
        <v>0</v>
      </c>
      <c r="D56" s="30" t="n">
        <f aca="false">G56+K56+O56+S56+W56+AA56</f>
        <v>180.77</v>
      </c>
      <c r="E56" s="30" t="n">
        <f aca="false">H56+I56+L56+M56+P56+Q56+T56+U56+X56+Y56+AB56+AC56</f>
        <v>8050</v>
      </c>
      <c r="F56" s="30" t="n">
        <f aca="false">ROUND(F55+G56-H56-I56,2)</f>
        <v>0</v>
      </c>
      <c r="G56" s="30" t="n">
        <f aca="false">ROUND(F55*$E$18/12,2)</f>
        <v>0</v>
      </c>
      <c r="H56" s="30" t="n">
        <f aca="false">MIN($D$18,F55+G56)</f>
        <v>0</v>
      </c>
      <c r="I56" s="30" t="n">
        <f aca="false">MAX(0,MIN($C$14-(H56+L56+P56+T56+X56+AB56)-0,F55+G56-H56))</f>
        <v>0</v>
      </c>
      <c r="J56" s="30" t="n">
        <f aca="false">ROUND(J55+K56-L56-M56,2)</f>
        <v>5688.65</v>
      </c>
      <c r="K56" s="30" t="n">
        <f aca="false">ROUND(J55*$E$19/12,2)</f>
        <v>180.77</v>
      </c>
      <c r="L56" s="30" t="n">
        <f aca="false">MIN($D$19,J55+K56)</f>
        <v>2250</v>
      </c>
      <c r="M56" s="30" t="n">
        <f aca="false">MAX(0,MIN($C$14-(H56+L56+P56+T56+X56+AB56)-(I56),J55+K56-L56))</f>
        <v>5800</v>
      </c>
      <c r="N56" s="30" t="n">
        <f aca="false">ROUND(N55+O56-P56-Q56,2)</f>
        <v>0</v>
      </c>
      <c r="O56" s="30" t="n">
        <f aca="false">ROUND(N55*$E$20/12,2)</f>
        <v>0</v>
      </c>
      <c r="P56" s="30" t="n">
        <f aca="false">MIN($D$20,N55+O56)</f>
        <v>0</v>
      </c>
      <c r="Q56" s="30" t="n">
        <f aca="false">MAX(0,MIN($C$14-(H56+L56+P56+T56+X56+AB56)-(I56+M56),N55+O56-P56))</f>
        <v>0</v>
      </c>
      <c r="R56" s="30" t="n">
        <f aca="false">ROUND(R55+S56-T56-U56,2)</f>
        <v>0</v>
      </c>
      <c r="S56" s="30" t="n">
        <f aca="false">ROUND(R55*$E$21/12,2)</f>
        <v>0</v>
      </c>
      <c r="T56" s="30" t="n">
        <f aca="false">MIN($D$21,R55+S56)</f>
        <v>0</v>
      </c>
      <c r="U56" s="30" t="n">
        <f aca="false">MAX(0,MIN($C$14-(H56+L56+P56+T56+X56+AB56)-(I56+M56+Q56),R55+S56-T56))</f>
        <v>0</v>
      </c>
      <c r="V56" s="30" t="n">
        <f aca="false">ROUND(V55+W56-X56-Y56,2)</f>
        <v>0</v>
      </c>
      <c r="W56" s="30" t="n">
        <f aca="false">ROUND(V55*$E$22/12,2)</f>
        <v>0</v>
      </c>
      <c r="X56" s="30" t="n">
        <f aca="false">MIN($D$22,V55+W56)</f>
        <v>0</v>
      </c>
      <c r="Y56" s="30" t="n">
        <f aca="false">MAX(0,MIN($C$14-(H56+L56+P56+T56+X56+AB56)-(I56+M56+Q56+U56),V55+W56-X56))</f>
        <v>0</v>
      </c>
      <c r="Z56" s="30" t="n">
        <f aca="false">ROUND(Z55+AA56-AB56-AC56,2)</f>
        <v>0</v>
      </c>
      <c r="AA56" s="30" t="n">
        <f aca="false">ROUND(Z55*$E$23/12,2)</f>
        <v>0</v>
      </c>
      <c r="AB56" s="30" t="n">
        <f aca="false">MIN($D$23,Z55+AA56)</f>
        <v>0</v>
      </c>
      <c r="AC56" s="30" t="n">
        <f aca="false">MAX(0,MIN($C$14-(H56+L56+P56+T56+X56+AB56)-(I56+M56+Q56+U56+Y56),Z55+AA56-AB56))</f>
        <v>0</v>
      </c>
    </row>
    <row r="57" customFormat="false" ht="15" hidden="false" customHeight="false" outlineLevel="0" collapsed="false">
      <c r="A57" s="29" t="n">
        <v>17</v>
      </c>
      <c r="B57" s="30" t="n">
        <f aca="false">F57+J57+N57+R57+V57+Z57</f>
        <v>0</v>
      </c>
      <c r="C57" s="30" t="n">
        <f aca="false">$C$14-E57</f>
        <v>2285.5</v>
      </c>
      <c r="D57" s="30" t="n">
        <f aca="false">G57+K57+O57+S57+W57+AA57</f>
        <v>75.85</v>
      </c>
      <c r="E57" s="30" t="n">
        <f aca="false">H57+I57+L57+M57+P57+Q57+T57+U57+X57+Y57+AB57+AC57</f>
        <v>5764.5</v>
      </c>
      <c r="F57" s="30" t="n">
        <f aca="false">ROUND(F56+G57-H57-I57,2)</f>
        <v>0</v>
      </c>
      <c r="G57" s="30" t="n">
        <f aca="false">ROUND(F56*$E$18/12,2)</f>
        <v>0</v>
      </c>
      <c r="H57" s="30" t="n">
        <f aca="false">MIN($D$18,F56+G57)</f>
        <v>0</v>
      </c>
      <c r="I57" s="30" t="n">
        <f aca="false">MAX(0,MIN($C$14-(H57+L57+P57+T57+X57+AB57)-0,F56+G57-H57))</f>
        <v>0</v>
      </c>
      <c r="J57" s="30" t="n">
        <f aca="false">ROUND(J56+K57-L57-M57,2)</f>
        <v>0</v>
      </c>
      <c r="K57" s="30" t="n">
        <f aca="false">ROUND(J56*$E$19/12,2)</f>
        <v>75.85</v>
      </c>
      <c r="L57" s="30" t="n">
        <f aca="false">MIN($D$19,J56+K57)</f>
        <v>2250</v>
      </c>
      <c r="M57" s="30" t="n">
        <f aca="false">MAX(0,MIN($C$14-(H57+L57+P57+T57+X57+AB57)-(I57),J56+K57-L57))</f>
        <v>3514.5</v>
      </c>
      <c r="N57" s="30" t="n">
        <f aca="false">ROUND(N56+O57-P57-Q57,2)</f>
        <v>0</v>
      </c>
      <c r="O57" s="30" t="n">
        <f aca="false">ROUND(N56*$E$20/12,2)</f>
        <v>0</v>
      </c>
      <c r="P57" s="30" t="n">
        <f aca="false">MIN($D$20,N56+O57)</f>
        <v>0</v>
      </c>
      <c r="Q57" s="30" t="n">
        <f aca="false">MAX(0,MIN($C$14-(H57+L57+P57+T57+X57+AB57)-(I57+M57),N56+O57-P57))</f>
        <v>0</v>
      </c>
      <c r="R57" s="30" t="n">
        <f aca="false">ROUND(R56+S57-T57-U57,2)</f>
        <v>0</v>
      </c>
      <c r="S57" s="30" t="n">
        <f aca="false">ROUND(R56*$E$21/12,2)</f>
        <v>0</v>
      </c>
      <c r="T57" s="30" t="n">
        <f aca="false">MIN($D$21,R56+S57)</f>
        <v>0</v>
      </c>
      <c r="U57" s="30" t="n">
        <f aca="false">MAX(0,MIN($C$14-(H57+L57+P57+T57+X57+AB57)-(I57+M57+Q57),R56+S57-T57))</f>
        <v>0</v>
      </c>
      <c r="V57" s="30" t="n">
        <f aca="false">ROUND(V56+W57-X57-Y57,2)</f>
        <v>0</v>
      </c>
      <c r="W57" s="30" t="n">
        <f aca="false">ROUND(V56*$E$22/12,2)</f>
        <v>0</v>
      </c>
      <c r="X57" s="30" t="n">
        <f aca="false">MIN($D$22,V56+W57)</f>
        <v>0</v>
      </c>
      <c r="Y57" s="30" t="n">
        <f aca="false">MAX(0,MIN($C$14-(H57+L57+P57+T57+X57+AB57)-(I57+M57+Q57+U57),V56+W57-X57))</f>
        <v>0</v>
      </c>
      <c r="Z57" s="30" t="n">
        <f aca="false">ROUND(Z56+AA57-AB57-AC57,2)</f>
        <v>0</v>
      </c>
      <c r="AA57" s="30" t="n">
        <f aca="false">ROUND(Z56*$E$23/12,2)</f>
        <v>0</v>
      </c>
      <c r="AB57" s="30" t="n">
        <f aca="false">MIN($D$23,Z56+AA57)</f>
        <v>0</v>
      </c>
      <c r="AC57" s="30" t="n">
        <f aca="false">MAX(0,MIN($C$14-(H57+L57+P57+T57+X57+AB57)-(I57+M57+Q57+U57+Y57),Z56+AA57-AB57))</f>
        <v>0</v>
      </c>
    </row>
    <row r="58" customFormat="false" ht="15" hidden="false" customHeight="false" outlineLevel="0" collapsed="false">
      <c r="A58" s="29" t="n">
        <v>18</v>
      </c>
      <c r="B58" s="30" t="n">
        <f aca="false">F58+J58+N58+R58+V58+Z58</f>
        <v>0</v>
      </c>
      <c r="C58" s="30" t="n">
        <f aca="false">$C$14-E58</f>
        <v>8050</v>
      </c>
      <c r="D58" s="30" t="n">
        <f aca="false">G58+K58+O58+S58+W58+AA58</f>
        <v>0</v>
      </c>
      <c r="E58" s="30" t="n">
        <f aca="false">H58+I58+L58+M58+P58+Q58+T58+U58+X58+Y58+AB58+AC58</f>
        <v>0</v>
      </c>
      <c r="F58" s="30" t="n">
        <f aca="false">ROUND(F57+G58-H58-I58,2)</f>
        <v>0</v>
      </c>
      <c r="G58" s="30" t="n">
        <f aca="false">ROUND(F57*$E$18/12,2)</f>
        <v>0</v>
      </c>
      <c r="H58" s="30" t="n">
        <f aca="false">MIN($D$18,F57+G58)</f>
        <v>0</v>
      </c>
      <c r="I58" s="30" t="n">
        <f aca="false">MAX(0,MIN($C$14-(H58+L58+P58+T58+X58+AB58)-0,F57+G58-H58))</f>
        <v>0</v>
      </c>
      <c r="J58" s="30" t="n">
        <f aca="false">ROUND(J57+K58-L58-M58,2)</f>
        <v>0</v>
      </c>
      <c r="K58" s="30" t="n">
        <f aca="false">ROUND(J57*$E$19/12,2)</f>
        <v>0</v>
      </c>
      <c r="L58" s="30" t="n">
        <f aca="false">MIN($D$19,J57+K58)</f>
        <v>0</v>
      </c>
      <c r="M58" s="30" t="n">
        <f aca="false">MAX(0,MIN($C$14-(H58+L58+P58+T58+X58+AB58)-(I58),J57+K58-L58))</f>
        <v>0</v>
      </c>
      <c r="N58" s="30" t="n">
        <f aca="false">ROUND(N57+O58-P58-Q58,2)</f>
        <v>0</v>
      </c>
      <c r="O58" s="30" t="n">
        <f aca="false">ROUND(N57*$E$20/12,2)</f>
        <v>0</v>
      </c>
      <c r="P58" s="30" t="n">
        <f aca="false">MIN($D$20,N57+O58)</f>
        <v>0</v>
      </c>
      <c r="Q58" s="30" t="n">
        <f aca="false">MAX(0,MIN($C$14-(H58+L58+P58+T58+X58+AB58)-(I58+M58),N57+O58-P58))</f>
        <v>0</v>
      </c>
      <c r="R58" s="30" t="n">
        <f aca="false">ROUND(R57+S58-T58-U58,2)</f>
        <v>0</v>
      </c>
      <c r="S58" s="30" t="n">
        <f aca="false">ROUND(R57*$E$21/12,2)</f>
        <v>0</v>
      </c>
      <c r="T58" s="30" t="n">
        <f aca="false">MIN($D$21,R57+S58)</f>
        <v>0</v>
      </c>
      <c r="U58" s="30" t="n">
        <f aca="false">MAX(0,MIN($C$14-(H58+L58+P58+T58+X58+AB58)-(I58+M58+Q58),R57+S58-T58))</f>
        <v>0</v>
      </c>
      <c r="V58" s="30" t="n">
        <f aca="false">ROUND(V57+W58-X58-Y58,2)</f>
        <v>0</v>
      </c>
      <c r="W58" s="30" t="n">
        <f aca="false">ROUND(V57*$E$22/12,2)</f>
        <v>0</v>
      </c>
      <c r="X58" s="30" t="n">
        <f aca="false">MIN($D$22,V57+W58)</f>
        <v>0</v>
      </c>
      <c r="Y58" s="30" t="n">
        <f aca="false">MAX(0,MIN($C$14-(H58+L58+P58+T58+X58+AB58)-(I58+M58+Q58+U58),V57+W58-X58))</f>
        <v>0</v>
      </c>
      <c r="Z58" s="30" t="n">
        <f aca="false">ROUND(Z57+AA58-AB58-AC58,2)</f>
        <v>0</v>
      </c>
      <c r="AA58" s="30" t="n">
        <f aca="false">ROUND(Z57*$E$23/12,2)</f>
        <v>0</v>
      </c>
      <c r="AB58" s="30" t="n">
        <f aca="false">MIN($D$23,Z57+AA58)</f>
        <v>0</v>
      </c>
      <c r="AC58" s="30" t="n">
        <f aca="false">MAX(0,MIN($C$14-(H58+L58+P58+T58+X58+AB58)-(I58+M58+Q58+U58+Y58),Z57+AA58-AB58))</f>
        <v>0</v>
      </c>
    </row>
    <row r="59" customFormat="false" ht="15" hidden="false" customHeight="false" outlineLevel="0" collapsed="false">
      <c r="A59" s="29" t="n">
        <v>19</v>
      </c>
      <c r="B59" s="30" t="n">
        <f aca="false">F59+J59+N59+R59+V59+Z59</f>
        <v>0</v>
      </c>
      <c r="C59" s="30" t="n">
        <f aca="false">$C$14-E59</f>
        <v>8050</v>
      </c>
      <c r="D59" s="30" t="n">
        <f aca="false">G59+K59+O59+S59+W59+AA59</f>
        <v>0</v>
      </c>
      <c r="E59" s="30" t="n">
        <f aca="false">H59+I59+L59+M59+P59+Q59+T59+U59+X59+Y59+AB59+AC59</f>
        <v>0</v>
      </c>
      <c r="F59" s="30" t="n">
        <f aca="false">ROUND(F58+G59-H59-I59,2)</f>
        <v>0</v>
      </c>
      <c r="G59" s="30" t="n">
        <f aca="false">ROUND(F58*$E$18/12,2)</f>
        <v>0</v>
      </c>
      <c r="H59" s="30" t="n">
        <f aca="false">MIN($D$18,F58+G59)</f>
        <v>0</v>
      </c>
      <c r="I59" s="30" t="n">
        <f aca="false">MAX(0,MIN($C$14-(H59+L59+P59+T59+X59+AB59)-0,F58+G59-H59))</f>
        <v>0</v>
      </c>
      <c r="J59" s="30" t="n">
        <f aca="false">ROUND(J58+K59-L59-M59,2)</f>
        <v>0</v>
      </c>
      <c r="K59" s="30" t="n">
        <f aca="false">ROUND(J58*$E$19/12,2)</f>
        <v>0</v>
      </c>
      <c r="L59" s="30" t="n">
        <f aca="false">MIN($D$19,J58+K59)</f>
        <v>0</v>
      </c>
      <c r="M59" s="30" t="n">
        <f aca="false">MAX(0,MIN($C$14-(H59+L59+P59+T59+X59+AB59)-(I59),J58+K59-L59))</f>
        <v>0</v>
      </c>
      <c r="N59" s="30" t="n">
        <f aca="false">ROUND(N58+O59-P59-Q59,2)</f>
        <v>0</v>
      </c>
      <c r="O59" s="30" t="n">
        <f aca="false">ROUND(N58*$E$20/12,2)</f>
        <v>0</v>
      </c>
      <c r="P59" s="30" t="n">
        <f aca="false">MIN($D$20,N58+O59)</f>
        <v>0</v>
      </c>
      <c r="Q59" s="30" t="n">
        <f aca="false">MAX(0,MIN($C$14-(H59+L59+P59+T59+X59+AB59)-(I59+M59),N58+O59-P59))</f>
        <v>0</v>
      </c>
      <c r="R59" s="30" t="n">
        <f aca="false">ROUND(R58+S59-T59-U59,2)</f>
        <v>0</v>
      </c>
      <c r="S59" s="30" t="n">
        <f aca="false">ROUND(R58*$E$21/12,2)</f>
        <v>0</v>
      </c>
      <c r="T59" s="30" t="n">
        <f aca="false">MIN($D$21,R58+S59)</f>
        <v>0</v>
      </c>
      <c r="U59" s="30" t="n">
        <f aca="false">MAX(0,MIN($C$14-(H59+L59+P59+T59+X59+AB59)-(I59+M59+Q59),R58+S59-T59))</f>
        <v>0</v>
      </c>
      <c r="V59" s="30" t="n">
        <f aca="false">ROUND(V58+W59-X59-Y59,2)</f>
        <v>0</v>
      </c>
      <c r="W59" s="30" t="n">
        <f aca="false">ROUND(V58*$E$22/12,2)</f>
        <v>0</v>
      </c>
      <c r="X59" s="30" t="n">
        <f aca="false">MIN($D$22,V58+W59)</f>
        <v>0</v>
      </c>
      <c r="Y59" s="30" t="n">
        <f aca="false">MAX(0,MIN($C$14-(H59+L59+P59+T59+X59+AB59)-(I59+M59+Q59+U59),V58+W59-X59))</f>
        <v>0</v>
      </c>
      <c r="Z59" s="30" t="n">
        <f aca="false">ROUND(Z58+AA59-AB59-AC59,2)</f>
        <v>0</v>
      </c>
      <c r="AA59" s="30" t="n">
        <f aca="false">ROUND(Z58*$E$23/12,2)</f>
        <v>0</v>
      </c>
      <c r="AB59" s="30" t="n">
        <f aca="false">MIN($D$23,Z58+AA59)</f>
        <v>0</v>
      </c>
      <c r="AC59" s="30" t="n">
        <f aca="false">MAX(0,MIN($C$14-(H59+L59+P59+T59+X59+AB59)-(I59+M59+Q59+U59+Y59),Z58+AA59-AB59))</f>
        <v>0</v>
      </c>
    </row>
    <row r="60" customFormat="false" ht="15" hidden="false" customHeight="false" outlineLevel="0" collapsed="false">
      <c r="A60" s="29" t="n">
        <v>20</v>
      </c>
      <c r="B60" s="30" t="n">
        <f aca="false">F60+J60+N60+R60+V60+Z60</f>
        <v>0</v>
      </c>
      <c r="C60" s="30" t="n">
        <f aca="false">$C$14-E60</f>
        <v>8050</v>
      </c>
      <c r="D60" s="30" t="n">
        <f aca="false">G60+K60+O60+S60+W60+AA60</f>
        <v>0</v>
      </c>
      <c r="E60" s="30" t="n">
        <f aca="false">H60+I60+L60+M60+P60+Q60+T60+U60+X60+Y60+AB60+AC60</f>
        <v>0</v>
      </c>
      <c r="F60" s="30" t="n">
        <f aca="false">ROUND(F59+G60-H60-I60,2)</f>
        <v>0</v>
      </c>
      <c r="G60" s="30" t="n">
        <f aca="false">ROUND(F59*$E$18/12,2)</f>
        <v>0</v>
      </c>
      <c r="H60" s="30" t="n">
        <f aca="false">MIN($D$18,F59+G60)</f>
        <v>0</v>
      </c>
      <c r="I60" s="30" t="n">
        <f aca="false">MAX(0,MIN($C$14-(H60+L60+P60+T60+X60+AB60)-0,F59+G60-H60))</f>
        <v>0</v>
      </c>
      <c r="J60" s="30" t="n">
        <f aca="false">ROUND(J59+K60-L60-M60,2)</f>
        <v>0</v>
      </c>
      <c r="K60" s="30" t="n">
        <f aca="false">ROUND(J59*$E$19/12,2)</f>
        <v>0</v>
      </c>
      <c r="L60" s="30" t="n">
        <f aca="false">MIN($D$19,J59+K60)</f>
        <v>0</v>
      </c>
      <c r="M60" s="30" t="n">
        <f aca="false">MAX(0,MIN($C$14-(H60+L60+P60+T60+X60+AB60)-(I60),J59+K60-L60))</f>
        <v>0</v>
      </c>
      <c r="N60" s="30" t="n">
        <f aca="false">ROUND(N59+O60-P60-Q60,2)</f>
        <v>0</v>
      </c>
      <c r="O60" s="30" t="n">
        <f aca="false">ROUND(N59*$E$20/12,2)</f>
        <v>0</v>
      </c>
      <c r="P60" s="30" t="n">
        <f aca="false">MIN($D$20,N59+O60)</f>
        <v>0</v>
      </c>
      <c r="Q60" s="30" t="n">
        <f aca="false">MAX(0,MIN($C$14-(H60+L60+P60+T60+X60+AB60)-(I60+M60),N59+O60-P60))</f>
        <v>0</v>
      </c>
      <c r="R60" s="30" t="n">
        <f aca="false">ROUND(R59+S60-T60-U60,2)</f>
        <v>0</v>
      </c>
      <c r="S60" s="30" t="n">
        <f aca="false">ROUND(R59*$E$21/12,2)</f>
        <v>0</v>
      </c>
      <c r="T60" s="30" t="n">
        <f aca="false">MIN($D$21,R59+S60)</f>
        <v>0</v>
      </c>
      <c r="U60" s="30" t="n">
        <f aca="false">MAX(0,MIN($C$14-(H60+L60+P60+T60+X60+AB60)-(I60+M60+Q60),R59+S60-T60))</f>
        <v>0</v>
      </c>
      <c r="V60" s="30" t="n">
        <f aca="false">ROUND(V59+W60-X60-Y60,2)</f>
        <v>0</v>
      </c>
      <c r="W60" s="30" t="n">
        <f aca="false">ROUND(V59*$E$22/12,2)</f>
        <v>0</v>
      </c>
      <c r="X60" s="30" t="n">
        <f aca="false">MIN($D$22,V59+W60)</f>
        <v>0</v>
      </c>
      <c r="Y60" s="30" t="n">
        <f aca="false">MAX(0,MIN($C$14-(H60+L60+P60+T60+X60+AB60)-(I60+M60+Q60+U60),V59+W60-X60))</f>
        <v>0</v>
      </c>
      <c r="Z60" s="30" t="n">
        <f aca="false">ROUND(Z59+AA60-AB60-AC60,2)</f>
        <v>0</v>
      </c>
      <c r="AA60" s="30" t="n">
        <f aca="false">ROUND(Z59*$E$23/12,2)</f>
        <v>0</v>
      </c>
      <c r="AB60" s="30" t="n">
        <f aca="false">MIN($D$23,Z59+AA60)</f>
        <v>0</v>
      </c>
      <c r="AC60" s="30" t="n">
        <f aca="false">MAX(0,MIN($C$14-(H60+L60+P60+T60+X60+AB60)-(I60+M60+Q60+U60+Y60),Z59+AA60-AB60))</f>
        <v>0</v>
      </c>
    </row>
    <row r="61" customFormat="false" ht="15" hidden="false" customHeight="false" outlineLevel="0" collapsed="false">
      <c r="A61" s="29" t="n">
        <v>21</v>
      </c>
      <c r="B61" s="30" t="n">
        <f aca="false">F61+J61+N61+R61+V61+Z61</f>
        <v>0</v>
      </c>
      <c r="C61" s="30" t="n">
        <f aca="false">$C$14-E61</f>
        <v>8050</v>
      </c>
      <c r="D61" s="30" t="n">
        <f aca="false">G61+K61+O61+S61+W61+AA61</f>
        <v>0</v>
      </c>
      <c r="E61" s="30" t="n">
        <f aca="false">H61+I61+L61+M61+P61+Q61+T61+U61+X61+Y61+AB61+AC61</f>
        <v>0</v>
      </c>
      <c r="F61" s="30" t="n">
        <f aca="false">ROUND(F60+G61-H61-I61,2)</f>
        <v>0</v>
      </c>
      <c r="G61" s="30" t="n">
        <f aca="false">ROUND(F60*$E$18/12,2)</f>
        <v>0</v>
      </c>
      <c r="H61" s="30" t="n">
        <f aca="false">MIN($D$18,F60+G61)</f>
        <v>0</v>
      </c>
      <c r="I61" s="30" t="n">
        <f aca="false">MAX(0,MIN($C$14-(H61+L61+P61+T61+X61+AB61)-0,F60+G61-H61))</f>
        <v>0</v>
      </c>
      <c r="J61" s="30" t="n">
        <f aca="false">ROUND(J60+K61-L61-M61,2)</f>
        <v>0</v>
      </c>
      <c r="K61" s="30" t="n">
        <f aca="false">ROUND(J60*$E$19/12,2)</f>
        <v>0</v>
      </c>
      <c r="L61" s="30" t="n">
        <f aca="false">MIN($D$19,J60+K61)</f>
        <v>0</v>
      </c>
      <c r="M61" s="30" t="n">
        <f aca="false">MAX(0,MIN($C$14-(H61+L61+P61+T61+X61+AB61)-(I61),J60+K61-L61))</f>
        <v>0</v>
      </c>
      <c r="N61" s="30" t="n">
        <f aca="false">ROUND(N60+O61-P61-Q61,2)</f>
        <v>0</v>
      </c>
      <c r="O61" s="30" t="n">
        <f aca="false">ROUND(N60*$E$20/12,2)</f>
        <v>0</v>
      </c>
      <c r="P61" s="30" t="n">
        <f aca="false">MIN($D$20,N60+O61)</f>
        <v>0</v>
      </c>
      <c r="Q61" s="30" t="n">
        <f aca="false">MAX(0,MIN($C$14-(H61+L61+P61+T61+X61+AB61)-(I61+M61),N60+O61-P61))</f>
        <v>0</v>
      </c>
      <c r="R61" s="30" t="n">
        <f aca="false">ROUND(R60+S61-T61-U61,2)</f>
        <v>0</v>
      </c>
      <c r="S61" s="30" t="n">
        <f aca="false">ROUND(R60*$E$21/12,2)</f>
        <v>0</v>
      </c>
      <c r="T61" s="30" t="n">
        <f aca="false">MIN($D$21,R60+S61)</f>
        <v>0</v>
      </c>
      <c r="U61" s="30" t="n">
        <f aca="false">MAX(0,MIN($C$14-(H61+L61+P61+T61+X61+AB61)-(I61+M61+Q61),R60+S61-T61))</f>
        <v>0</v>
      </c>
      <c r="V61" s="30" t="n">
        <f aca="false">ROUND(V60+W61-X61-Y61,2)</f>
        <v>0</v>
      </c>
      <c r="W61" s="30" t="n">
        <f aca="false">ROUND(V60*$E$22/12,2)</f>
        <v>0</v>
      </c>
      <c r="X61" s="30" t="n">
        <f aca="false">MIN($D$22,V60+W61)</f>
        <v>0</v>
      </c>
      <c r="Y61" s="30" t="n">
        <f aca="false">MAX(0,MIN($C$14-(H61+L61+P61+T61+X61+AB61)-(I61+M61+Q61+U61),V60+W61-X61))</f>
        <v>0</v>
      </c>
      <c r="Z61" s="30" t="n">
        <f aca="false">ROUND(Z60+AA61-AB61-AC61,2)</f>
        <v>0</v>
      </c>
      <c r="AA61" s="30" t="n">
        <f aca="false">ROUND(Z60*$E$23/12,2)</f>
        <v>0</v>
      </c>
      <c r="AB61" s="30" t="n">
        <f aca="false">MIN($D$23,Z60+AA61)</f>
        <v>0</v>
      </c>
      <c r="AC61" s="30" t="n">
        <f aca="false">MAX(0,MIN($C$14-(H61+L61+P61+T61+X61+AB61)-(I61+M61+Q61+U61+Y61),Z60+AA61-AB61))</f>
        <v>0</v>
      </c>
    </row>
    <row r="62" customFormat="false" ht="15" hidden="false" customHeight="false" outlineLevel="0" collapsed="false">
      <c r="A62" s="29" t="n">
        <v>22</v>
      </c>
      <c r="B62" s="30" t="n">
        <f aca="false">F62+J62+N62+R62+V62+Z62</f>
        <v>0</v>
      </c>
      <c r="C62" s="30" t="n">
        <f aca="false">$C$14-E62</f>
        <v>8050</v>
      </c>
      <c r="D62" s="30" t="n">
        <f aca="false">G62+K62+O62+S62+W62+AA62</f>
        <v>0</v>
      </c>
      <c r="E62" s="30" t="n">
        <f aca="false">H62+I62+L62+M62+P62+Q62+T62+U62+X62+Y62+AB62+AC62</f>
        <v>0</v>
      </c>
      <c r="F62" s="30" t="n">
        <f aca="false">ROUND(F61+G62-H62-I62,2)</f>
        <v>0</v>
      </c>
      <c r="G62" s="30" t="n">
        <f aca="false">ROUND(F61*$E$18/12,2)</f>
        <v>0</v>
      </c>
      <c r="H62" s="30" t="n">
        <f aca="false">MIN($D$18,F61+G62)</f>
        <v>0</v>
      </c>
      <c r="I62" s="30" t="n">
        <f aca="false">MAX(0,MIN($C$14-(H62+L62+P62+T62+X62+AB62)-0,F61+G62-H62))</f>
        <v>0</v>
      </c>
      <c r="J62" s="30" t="n">
        <f aca="false">ROUND(J61+K62-L62-M62,2)</f>
        <v>0</v>
      </c>
      <c r="K62" s="30" t="n">
        <f aca="false">ROUND(J61*$E$19/12,2)</f>
        <v>0</v>
      </c>
      <c r="L62" s="30" t="n">
        <f aca="false">MIN($D$19,J61+K62)</f>
        <v>0</v>
      </c>
      <c r="M62" s="30" t="n">
        <f aca="false">MAX(0,MIN($C$14-(H62+L62+P62+T62+X62+AB62)-(I62),J61+K62-L62))</f>
        <v>0</v>
      </c>
      <c r="N62" s="30" t="n">
        <f aca="false">ROUND(N61+O62-P62-Q62,2)</f>
        <v>0</v>
      </c>
      <c r="O62" s="30" t="n">
        <f aca="false">ROUND(N61*$E$20/12,2)</f>
        <v>0</v>
      </c>
      <c r="P62" s="30" t="n">
        <f aca="false">MIN($D$20,N61+O62)</f>
        <v>0</v>
      </c>
      <c r="Q62" s="30" t="n">
        <f aca="false">MAX(0,MIN($C$14-(H62+L62+P62+T62+X62+AB62)-(I62+M62),N61+O62-P62))</f>
        <v>0</v>
      </c>
      <c r="R62" s="30" t="n">
        <f aca="false">ROUND(R61+S62-T62-U62,2)</f>
        <v>0</v>
      </c>
      <c r="S62" s="30" t="n">
        <f aca="false">ROUND(R61*$E$21/12,2)</f>
        <v>0</v>
      </c>
      <c r="T62" s="30" t="n">
        <f aca="false">MIN($D$21,R61+S62)</f>
        <v>0</v>
      </c>
      <c r="U62" s="30" t="n">
        <f aca="false">MAX(0,MIN($C$14-(H62+L62+P62+T62+X62+AB62)-(I62+M62+Q62),R61+S62-T62))</f>
        <v>0</v>
      </c>
      <c r="V62" s="30" t="n">
        <f aca="false">ROUND(V61+W62-X62-Y62,2)</f>
        <v>0</v>
      </c>
      <c r="W62" s="30" t="n">
        <f aca="false">ROUND(V61*$E$22/12,2)</f>
        <v>0</v>
      </c>
      <c r="X62" s="30" t="n">
        <f aca="false">MIN($D$22,V61+W62)</f>
        <v>0</v>
      </c>
      <c r="Y62" s="30" t="n">
        <f aca="false">MAX(0,MIN($C$14-(H62+L62+P62+T62+X62+AB62)-(I62+M62+Q62+U62),V61+W62-X62))</f>
        <v>0</v>
      </c>
      <c r="Z62" s="30" t="n">
        <f aca="false">ROUND(Z61+AA62-AB62-AC62,2)</f>
        <v>0</v>
      </c>
      <c r="AA62" s="30" t="n">
        <f aca="false">ROUND(Z61*$E$23/12,2)</f>
        <v>0</v>
      </c>
      <c r="AB62" s="30" t="n">
        <f aca="false">MIN($D$23,Z61+AA62)</f>
        <v>0</v>
      </c>
      <c r="AC62" s="30" t="n">
        <f aca="false">MAX(0,MIN($C$14-(H62+L62+P62+T62+X62+AB62)-(I62+M62+Q62+U62+Y62),Z61+AA62-AB62))</f>
        <v>0</v>
      </c>
    </row>
    <row r="63" customFormat="false" ht="15" hidden="false" customHeight="false" outlineLevel="0" collapsed="false">
      <c r="A63" s="29" t="n">
        <v>23</v>
      </c>
      <c r="B63" s="30" t="n">
        <f aca="false">F63+J63+N63+R63+V63+Z63</f>
        <v>0</v>
      </c>
      <c r="C63" s="30" t="n">
        <f aca="false">$C$14-E63</f>
        <v>8050</v>
      </c>
      <c r="D63" s="30" t="n">
        <f aca="false">G63+K63+O63+S63+W63+AA63</f>
        <v>0</v>
      </c>
      <c r="E63" s="30" t="n">
        <f aca="false">H63+I63+L63+M63+P63+Q63+T63+U63+X63+Y63+AB63+AC63</f>
        <v>0</v>
      </c>
      <c r="F63" s="30" t="n">
        <f aca="false">ROUND(F62+G63-H63-I63,2)</f>
        <v>0</v>
      </c>
      <c r="G63" s="30" t="n">
        <f aca="false">ROUND(F62*$E$18/12,2)</f>
        <v>0</v>
      </c>
      <c r="H63" s="30" t="n">
        <f aca="false">MIN($D$18,F62+G63)</f>
        <v>0</v>
      </c>
      <c r="I63" s="30" t="n">
        <f aca="false">MAX(0,MIN($C$14-(H63+L63+P63+T63+X63+AB63)-0,F62+G63-H63))</f>
        <v>0</v>
      </c>
      <c r="J63" s="30" t="n">
        <f aca="false">ROUND(J62+K63-L63-M63,2)</f>
        <v>0</v>
      </c>
      <c r="K63" s="30" t="n">
        <f aca="false">ROUND(J62*$E$19/12,2)</f>
        <v>0</v>
      </c>
      <c r="L63" s="30" t="n">
        <f aca="false">MIN($D$19,J62+K63)</f>
        <v>0</v>
      </c>
      <c r="M63" s="30" t="n">
        <f aca="false">MAX(0,MIN($C$14-(H63+L63+P63+T63+X63+AB63)-(I63),J62+K63-L63))</f>
        <v>0</v>
      </c>
      <c r="N63" s="30" t="n">
        <f aca="false">ROUND(N62+O63-P63-Q63,2)</f>
        <v>0</v>
      </c>
      <c r="O63" s="30" t="n">
        <f aca="false">ROUND(N62*$E$20/12,2)</f>
        <v>0</v>
      </c>
      <c r="P63" s="30" t="n">
        <f aca="false">MIN($D$20,N62+O63)</f>
        <v>0</v>
      </c>
      <c r="Q63" s="30" t="n">
        <f aca="false">MAX(0,MIN($C$14-(H63+L63+P63+T63+X63+AB63)-(I63+M63),N62+O63-P63))</f>
        <v>0</v>
      </c>
      <c r="R63" s="30" t="n">
        <f aca="false">ROUND(R62+S63-T63-U63,2)</f>
        <v>0</v>
      </c>
      <c r="S63" s="30" t="n">
        <f aca="false">ROUND(R62*$E$21/12,2)</f>
        <v>0</v>
      </c>
      <c r="T63" s="30" t="n">
        <f aca="false">MIN($D$21,R62+S63)</f>
        <v>0</v>
      </c>
      <c r="U63" s="30" t="n">
        <f aca="false">MAX(0,MIN($C$14-(H63+L63+P63+T63+X63+AB63)-(I63+M63+Q63),R62+S63-T63))</f>
        <v>0</v>
      </c>
      <c r="V63" s="30" t="n">
        <f aca="false">ROUND(V62+W63-X63-Y63,2)</f>
        <v>0</v>
      </c>
      <c r="W63" s="30" t="n">
        <f aca="false">ROUND(V62*$E$22/12,2)</f>
        <v>0</v>
      </c>
      <c r="X63" s="30" t="n">
        <f aca="false">MIN($D$22,V62+W63)</f>
        <v>0</v>
      </c>
      <c r="Y63" s="30" t="n">
        <f aca="false">MAX(0,MIN($C$14-(H63+L63+P63+T63+X63+AB63)-(I63+M63+Q63+U63),V62+W63-X63))</f>
        <v>0</v>
      </c>
      <c r="Z63" s="30" t="n">
        <f aca="false">ROUND(Z62+AA63-AB63-AC63,2)</f>
        <v>0</v>
      </c>
      <c r="AA63" s="30" t="n">
        <f aca="false">ROUND(Z62*$E$23/12,2)</f>
        <v>0</v>
      </c>
      <c r="AB63" s="30" t="n">
        <f aca="false">MIN($D$23,Z62+AA63)</f>
        <v>0</v>
      </c>
      <c r="AC63" s="30" t="n">
        <f aca="false">MAX(0,MIN($C$14-(H63+L63+P63+T63+X63+AB63)-(I63+M63+Q63+U63+Y63),Z62+AA63-AB63))</f>
        <v>0</v>
      </c>
    </row>
    <row r="64" customFormat="false" ht="15" hidden="false" customHeight="false" outlineLevel="0" collapsed="false">
      <c r="A64" s="29" t="n">
        <v>24</v>
      </c>
      <c r="B64" s="30" t="n">
        <f aca="false">F64+J64+N64+R64+V64+Z64</f>
        <v>0</v>
      </c>
      <c r="C64" s="30" t="n">
        <f aca="false">$C$14-E64</f>
        <v>8050</v>
      </c>
      <c r="D64" s="30" t="n">
        <f aca="false">G64+K64+O64+S64+W64+AA64</f>
        <v>0</v>
      </c>
      <c r="E64" s="30" t="n">
        <f aca="false">H64+I64+L64+M64+P64+Q64+T64+U64+X64+Y64+AB64+AC64</f>
        <v>0</v>
      </c>
      <c r="F64" s="30" t="n">
        <f aca="false">ROUND(F63+G64-H64-I64,2)</f>
        <v>0</v>
      </c>
      <c r="G64" s="30" t="n">
        <f aca="false">ROUND(F63*$E$18/12,2)</f>
        <v>0</v>
      </c>
      <c r="H64" s="30" t="n">
        <f aca="false">MIN($D$18,F63+G64)</f>
        <v>0</v>
      </c>
      <c r="I64" s="30" t="n">
        <f aca="false">MAX(0,MIN($C$14-(H64+L64+P64+T64+X64+AB64)-0,F63+G64-H64))</f>
        <v>0</v>
      </c>
      <c r="J64" s="30" t="n">
        <f aca="false">ROUND(J63+K64-L64-M64,2)</f>
        <v>0</v>
      </c>
      <c r="K64" s="30" t="n">
        <f aca="false">ROUND(J63*$E$19/12,2)</f>
        <v>0</v>
      </c>
      <c r="L64" s="30" t="n">
        <f aca="false">MIN($D$19,J63+K64)</f>
        <v>0</v>
      </c>
      <c r="M64" s="30" t="n">
        <f aca="false">MAX(0,MIN($C$14-(H64+L64+P64+T64+X64+AB64)-(I64),J63+K64-L64))</f>
        <v>0</v>
      </c>
      <c r="N64" s="30" t="n">
        <f aca="false">ROUND(N63+O64-P64-Q64,2)</f>
        <v>0</v>
      </c>
      <c r="O64" s="30" t="n">
        <f aca="false">ROUND(N63*$E$20/12,2)</f>
        <v>0</v>
      </c>
      <c r="P64" s="30" t="n">
        <f aca="false">MIN($D$20,N63+O64)</f>
        <v>0</v>
      </c>
      <c r="Q64" s="30" t="n">
        <f aca="false">MAX(0,MIN($C$14-(H64+L64+P64+T64+X64+AB64)-(I64+M64),N63+O64-P64))</f>
        <v>0</v>
      </c>
      <c r="R64" s="30" t="n">
        <f aca="false">ROUND(R63+S64-T64-U64,2)</f>
        <v>0</v>
      </c>
      <c r="S64" s="30" t="n">
        <f aca="false">ROUND(R63*$E$21/12,2)</f>
        <v>0</v>
      </c>
      <c r="T64" s="30" t="n">
        <f aca="false">MIN($D$21,R63+S64)</f>
        <v>0</v>
      </c>
      <c r="U64" s="30" t="n">
        <f aca="false">MAX(0,MIN($C$14-(H64+L64+P64+T64+X64+AB64)-(I64+M64+Q64),R63+S64-T64))</f>
        <v>0</v>
      </c>
      <c r="V64" s="30" t="n">
        <f aca="false">ROUND(V63+W64-X64-Y64,2)</f>
        <v>0</v>
      </c>
      <c r="W64" s="30" t="n">
        <f aca="false">ROUND(V63*$E$22/12,2)</f>
        <v>0</v>
      </c>
      <c r="X64" s="30" t="n">
        <f aca="false">MIN($D$22,V63+W64)</f>
        <v>0</v>
      </c>
      <c r="Y64" s="30" t="n">
        <f aca="false">MAX(0,MIN($C$14-(H64+L64+P64+T64+X64+AB64)-(I64+M64+Q64+U64),V63+W64-X64))</f>
        <v>0</v>
      </c>
      <c r="Z64" s="30" t="n">
        <f aca="false">ROUND(Z63+AA64-AB64-AC64,2)</f>
        <v>0</v>
      </c>
      <c r="AA64" s="30" t="n">
        <f aca="false">ROUND(Z63*$E$23/12,2)</f>
        <v>0</v>
      </c>
      <c r="AB64" s="30" t="n">
        <f aca="false">MIN($D$23,Z63+AA64)</f>
        <v>0</v>
      </c>
      <c r="AC64" s="30" t="n">
        <f aca="false">MAX(0,MIN($C$14-(H64+L64+P64+T64+X64+AB64)-(I64+M64+Q64+U64+Y64),Z63+AA64-AB64))</f>
        <v>0</v>
      </c>
    </row>
    <row r="65" customFormat="false" ht="15" hidden="false" customHeight="false" outlineLevel="0" collapsed="false">
      <c r="A65" s="29" t="n">
        <v>25</v>
      </c>
      <c r="B65" s="30" t="n">
        <f aca="false">F65+J65+N65+R65+V65+Z65</f>
        <v>0</v>
      </c>
      <c r="C65" s="30" t="n">
        <f aca="false">$C$14-E65</f>
        <v>8050</v>
      </c>
      <c r="D65" s="30" t="n">
        <f aca="false">G65+K65+O65+S65+W65+AA65</f>
        <v>0</v>
      </c>
      <c r="E65" s="30" t="n">
        <f aca="false">H65+I65+L65+M65+P65+Q65+T65+U65+X65+Y65+AB65+AC65</f>
        <v>0</v>
      </c>
      <c r="F65" s="30" t="n">
        <f aca="false">ROUND(F64+G65-H65-I65,2)</f>
        <v>0</v>
      </c>
      <c r="G65" s="30" t="n">
        <f aca="false">ROUND(F64*$E$18/12,2)</f>
        <v>0</v>
      </c>
      <c r="H65" s="30" t="n">
        <f aca="false">MIN($D$18,F64+G65)</f>
        <v>0</v>
      </c>
      <c r="I65" s="30" t="n">
        <f aca="false">MAX(0,MIN($C$14-(H65+L65+P65+T65+X65+AB65)-0,F64+G65-H65))</f>
        <v>0</v>
      </c>
      <c r="J65" s="30" t="n">
        <f aca="false">ROUND(J64+K65-L65-M65,2)</f>
        <v>0</v>
      </c>
      <c r="K65" s="30" t="n">
        <f aca="false">ROUND(J64*$E$19/12,2)</f>
        <v>0</v>
      </c>
      <c r="L65" s="30" t="n">
        <f aca="false">MIN($D$19,J64+K65)</f>
        <v>0</v>
      </c>
      <c r="M65" s="30" t="n">
        <f aca="false">MAX(0,MIN($C$14-(H65+L65+P65+T65+X65+AB65)-(I65),J64+K65-L65))</f>
        <v>0</v>
      </c>
      <c r="N65" s="30" t="n">
        <f aca="false">ROUND(N64+O65-P65-Q65,2)</f>
        <v>0</v>
      </c>
      <c r="O65" s="30" t="n">
        <f aca="false">ROUND(N64*$E$20/12,2)</f>
        <v>0</v>
      </c>
      <c r="P65" s="30" t="n">
        <f aca="false">MIN($D$20,N64+O65)</f>
        <v>0</v>
      </c>
      <c r="Q65" s="30" t="n">
        <f aca="false">MAX(0,MIN($C$14-(H65+L65+P65+T65+X65+AB65)-(I65+M65),N64+O65-P65))</f>
        <v>0</v>
      </c>
      <c r="R65" s="30" t="n">
        <f aca="false">ROUND(R64+S65-T65-U65,2)</f>
        <v>0</v>
      </c>
      <c r="S65" s="30" t="n">
        <f aca="false">ROUND(R64*$E$21/12,2)</f>
        <v>0</v>
      </c>
      <c r="T65" s="30" t="n">
        <f aca="false">MIN($D$21,R64+S65)</f>
        <v>0</v>
      </c>
      <c r="U65" s="30" t="n">
        <f aca="false">MAX(0,MIN($C$14-(H65+L65+P65+T65+X65+AB65)-(I65+M65+Q65),R64+S65-T65))</f>
        <v>0</v>
      </c>
      <c r="V65" s="30" t="n">
        <f aca="false">ROUND(V64+W65-X65-Y65,2)</f>
        <v>0</v>
      </c>
      <c r="W65" s="30" t="n">
        <f aca="false">ROUND(V64*$E$22/12,2)</f>
        <v>0</v>
      </c>
      <c r="X65" s="30" t="n">
        <f aca="false">MIN($D$22,V64+W65)</f>
        <v>0</v>
      </c>
      <c r="Y65" s="30" t="n">
        <f aca="false">MAX(0,MIN($C$14-(H65+L65+P65+T65+X65+AB65)-(I65+M65+Q65+U65),V64+W65-X65))</f>
        <v>0</v>
      </c>
      <c r="Z65" s="30" t="n">
        <f aca="false">ROUND(Z64+AA65-AB65-AC65,2)</f>
        <v>0</v>
      </c>
      <c r="AA65" s="30" t="n">
        <f aca="false">ROUND(Z64*$E$23/12,2)</f>
        <v>0</v>
      </c>
      <c r="AB65" s="30" t="n">
        <f aca="false">MIN($D$23,Z64+AA65)</f>
        <v>0</v>
      </c>
      <c r="AC65" s="30" t="n">
        <f aca="false">MAX(0,MIN($C$14-(H65+L65+P65+T65+X65+AB65)-(I65+M65+Q65+U65+Y65),Z64+AA65-AB65))</f>
        <v>0</v>
      </c>
    </row>
    <row r="66" customFormat="false" ht="15" hidden="false" customHeight="false" outlineLevel="0" collapsed="false">
      <c r="A66" s="29" t="n">
        <v>26</v>
      </c>
      <c r="B66" s="30" t="n">
        <f aca="false">F66+J66+N66+R66+V66+Z66</f>
        <v>0</v>
      </c>
      <c r="C66" s="30" t="n">
        <f aca="false">$C$14-E66</f>
        <v>8050</v>
      </c>
      <c r="D66" s="30" t="n">
        <f aca="false">G66+K66+O66+S66+W66+AA66</f>
        <v>0</v>
      </c>
      <c r="E66" s="30" t="n">
        <f aca="false">H66+I66+L66+M66+P66+Q66+T66+U66+X66+Y66+AB66+AC66</f>
        <v>0</v>
      </c>
      <c r="F66" s="30" t="n">
        <f aca="false">ROUND(F65+G66-H66-I66,2)</f>
        <v>0</v>
      </c>
      <c r="G66" s="30" t="n">
        <f aca="false">ROUND(F65*$E$18/12,2)</f>
        <v>0</v>
      </c>
      <c r="H66" s="30" t="n">
        <f aca="false">MIN($D$18,F65+G66)</f>
        <v>0</v>
      </c>
      <c r="I66" s="30" t="n">
        <f aca="false">MAX(0,MIN($C$14-(H66+L66+P66+T66+X66+AB66)-0,F65+G66-H66))</f>
        <v>0</v>
      </c>
      <c r="J66" s="30" t="n">
        <f aca="false">ROUND(J65+K66-L66-M66,2)</f>
        <v>0</v>
      </c>
      <c r="K66" s="30" t="n">
        <f aca="false">ROUND(J65*$E$19/12,2)</f>
        <v>0</v>
      </c>
      <c r="L66" s="30" t="n">
        <f aca="false">MIN($D$19,J65+K66)</f>
        <v>0</v>
      </c>
      <c r="M66" s="30" t="n">
        <f aca="false">MAX(0,MIN($C$14-(H66+L66+P66+T66+X66+AB66)-(I66),J65+K66-L66))</f>
        <v>0</v>
      </c>
      <c r="N66" s="30" t="n">
        <f aca="false">ROUND(N65+O66-P66-Q66,2)</f>
        <v>0</v>
      </c>
      <c r="O66" s="30" t="n">
        <f aca="false">ROUND(N65*$E$20/12,2)</f>
        <v>0</v>
      </c>
      <c r="P66" s="30" t="n">
        <f aca="false">MIN($D$20,N65+O66)</f>
        <v>0</v>
      </c>
      <c r="Q66" s="30" t="n">
        <f aca="false">MAX(0,MIN($C$14-(H66+L66+P66+T66+X66+AB66)-(I66+M66),N65+O66-P66))</f>
        <v>0</v>
      </c>
      <c r="R66" s="30" t="n">
        <f aca="false">ROUND(R65+S66-T66-U66,2)</f>
        <v>0</v>
      </c>
      <c r="S66" s="30" t="n">
        <f aca="false">ROUND(R65*$E$21/12,2)</f>
        <v>0</v>
      </c>
      <c r="T66" s="30" t="n">
        <f aca="false">MIN($D$21,R65+S66)</f>
        <v>0</v>
      </c>
      <c r="U66" s="30" t="n">
        <f aca="false">MAX(0,MIN($C$14-(H66+L66+P66+T66+X66+AB66)-(I66+M66+Q66),R65+S66-T66))</f>
        <v>0</v>
      </c>
      <c r="V66" s="30" t="n">
        <f aca="false">ROUND(V65+W66-X66-Y66,2)</f>
        <v>0</v>
      </c>
      <c r="W66" s="30" t="n">
        <f aca="false">ROUND(V65*$E$22/12,2)</f>
        <v>0</v>
      </c>
      <c r="X66" s="30" t="n">
        <f aca="false">MIN($D$22,V65+W66)</f>
        <v>0</v>
      </c>
      <c r="Y66" s="30" t="n">
        <f aca="false">MAX(0,MIN($C$14-(H66+L66+P66+T66+X66+AB66)-(I66+M66+Q66+U66),V65+W66-X66))</f>
        <v>0</v>
      </c>
      <c r="Z66" s="30" t="n">
        <f aca="false">ROUND(Z65+AA66-AB66-AC66,2)</f>
        <v>0</v>
      </c>
      <c r="AA66" s="30" t="n">
        <f aca="false">ROUND(Z65*$E$23/12,2)</f>
        <v>0</v>
      </c>
      <c r="AB66" s="30" t="n">
        <f aca="false">MIN($D$23,Z65+AA66)</f>
        <v>0</v>
      </c>
      <c r="AC66" s="30" t="n">
        <f aca="false">MAX(0,MIN($C$14-(H66+L66+P66+T66+X66+AB66)-(I66+M66+Q66+U66+Y66),Z65+AA66-AB66))</f>
        <v>0</v>
      </c>
    </row>
    <row r="67" customFormat="false" ht="15" hidden="false" customHeight="false" outlineLevel="0" collapsed="false">
      <c r="A67" s="29" t="n">
        <v>27</v>
      </c>
      <c r="B67" s="30" t="n">
        <f aca="false">F67+J67+N67+R67+V67+Z67</f>
        <v>0</v>
      </c>
      <c r="C67" s="30" t="n">
        <f aca="false">$C$14-E67</f>
        <v>8050</v>
      </c>
      <c r="D67" s="30" t="n">
        <f aca="false">G67+K67+O67+S67+W67+AA67</f>
        <v>0</v>
      </c>
      <c r="E67" s="30" t="n">
        <f aca="false">H67+I67+L67+M67+P67+Q67+T67+U67+X67+Y67+AB67+AC67</f>
        <v>0</v>
      </c>
      <c r="F67" s="30" t="n">
        <f aca="false">ROUND(F66+G67-H67-I67,2)</f>
        <v>0</v>
      </c>
      <c r="G67" s="30" t="n">
        <f aca="false">ROUND(F66*$E$18/12,2)</f>
        <v>0</v>
      </c>
      <c r="H67" s="30" t="n">
        <f aca="false">MIN($D$18,F66+G67)</f>
        <v>0</v>
      </c>
      <c r="I67" s="30" t="n">
        <f aca="false">MAX(0,MIN($C$14-(H67+L67+P67+T67+X67+AB67)-0,F66+G67-H67))</f>
        <v>0</v>
      </c>
      <c r="J67" s="30" t="n">
        <f aca="false">ROUND(J66+K67-L67-M67,2)</f>
        <v>0</v>
      </c>
      <c r="K67" s="30" t="n">
        <f aca="false">ROUND(J66*$E$19/12,2)</f>
        <v>0</v>
      </c>
      <c r="L67" s="30" t="n">
        <f aca="false">MIN($D$19,J66+K67)</f>
        <v>0</v>
      </c>
      <c r="M67" s="30" t="n">
        <f aca="false">MAX(0,MIN($C$14-(H67+L67+P67+T67+X67+AB67)-(I67),J66+K67-L67))</f>
        <v>0</v>
      </c>
      <c r="N67" s="30" t="n">
        <f aca="false">ROUND(N66+O67-P67-Q67,2)</f>
        <v>0</v>
      </c>
      <c r="O67" s="30" t="n">
        <f aca="false">ROUND(N66*$E$20/12,2)</f>
        <v>0</v>
      </c>
      <c r="P67" s="30" t="n">
        <f aca="false">MIN($D$20,N66+O67)</f>
        <v>0</v>
      </c>
      <c r="Q67" s="30" t="n">
        <f aca="false">MAX(0,MIN($C$14-(H67+L67+P67+T67+X67+AB67)-(I67+M67),N66+O67-P67))</f>
        <v>0</v>
      </c>
      <c r="R67" s="30" t="n">
        <f aca="false">ROUND(R66+S67-T67-U67,2)</f>
        <v>0</v>
      </c>
      <c r="S67" s="30" t="n">
        <f aca="false">ROUND(R66*$E$21/12,2)</f>
        <v>0</v>
      </c>
      <c r="T67" s="30" t="n">
        <f aca="false">MIN($D$21,R66+S67)</f>
        <v>0</v>
      </c>
      <c r="U67" s="30" t="n">
        <f aca="false">MAX(0,MIN($C$14-(H67+L67+P67+T67+X67+AB67)-(I67+M67+Q67),R66+S67-T67))</f>
        <v>0</v>
      </c>
      <c r="V67" s="30" t="n">
        <f aca="false">ROUND(V66+W67-X67-Y67,2)</f>
        <v>0</v>
      </c>
      <c r="W67" s="30" t="n">
        <f aca="false">ROUND(V66*$E$22/12,2)</f>
        <v>0</v>
      </c>
      <c r="X67" s="30" t="n">
        <f aca="false">MIN($D$22,V66+W67)</f>
        <v>0</v>
      </c>
      <c r="Y67" s="30" t="n">
        <f aca="false">MAX(0,MIN($C$14-(H67+L67+P67+T67+X67+AB67)-(I67+M67+Q67+U67),V66+W67-X67))</f>
        <v>0</v>
      </c>
      <c r="Z67" s="30" t="n">
        <f aca="false">ROUND(Z66+AA67-AB67-AC67,2)</f>
        <v>0</v>
      </c>
      <c r="AA67" s="30" t="n">
        <f aca="false">ROUND(Z66*$E$23/12,2)</f>
        <v>0</v>
      </c>
      <c r="AB67" s="30" t="n">
        <f aca="false">MIN($D$23,Z66+AA67)</f>
        <v>0</v>
      </c>
      <c r="AC67" s="30" t="n">
        <f aca="false">MAX(0,MIN($C$14-(H67+L67+P67+T67+X67+AB67)-(I67+M67+Q67+U67+Y67),Z66+AA67-AB67))</f>
        <v>0</v>
      </c>
    </row>
    <row r="68" customFormat="false" ht="15" hidden="false" customHeight="false" outlineLevel="0" collapsed="false">
      <c r="A68" s="29" t="n">
        <v>28</v>
      </c>
      <c r="B68" s="30" t="n">
        <f aca="false">F68+J68+N68+R68+V68+Z68</f>
        <v>0</v>
      </c>
      <c r="C68" s="30" t="n">
        <f aca="false">$C$14-E68</f>
        <v>8050</v>
      </c>
      <c r="D68" s="30" t="n">
        <f aca="false">G68+K68+O68+S68+W68+AA68</f>
        <v>0</v>
      </c>
      <c r="E68" s="30" t="n">
        <f aca="false">H68+I68+L68+M68+P68+Q68+T68+U68+X68+Y68+AB68+AC68</f>
        <v>0</v>
      </c>
      <c r="F68" s="30" t="n">
        <f aca="false">ROUND(F67+G68-H68-I68,2)</f>
        <v>0</v>
      </c>
      <c r="G68" s="30" t="n">
        <f aca="false">ROUND(F67*$E$18/12,2)</f>
        <v>0</v>
      </c>
      <c r="H68" s="30" t="n">
        <f aca="false">MIN($D$18,F67+G68)</f>
        <v>0</v>
      </c>
      <c r="I68" s="30" t="n">
        <f aca="false">MAX(0,MIN($C$14-(H68+L68+P68+T68+X68+AB68)-0,F67+G68-H68))</f>
        <v>0</v>
      </c>
      <c r="J68" s="30" t="n">
        <f aca="false">ROUND(J67+K68-L68-M68,2)</f>
        <v>0</v>
      </c>
      <c r="K68" s="30" t="n">
        <f aca="false">ROUND(J67*$E$19/12,2)</f>
        <v>0</v>
      </c>
      <c r="L68" s="30" t="n">
        <f aca="false">MIN($D$19,J67+K68)</f>
        <v>0</v>
      </c>
      <c r="M68" s="30" t="n">
        <f aca="false">MAX(0,MIN($C$14-(H68+L68+P68+T68+X68+AB68)-(I68),J67+K68-L68))</f>
        <v>0</v>
      </c>
      <c r="N68" s="30" t="n">
        <f aca="false">ROUND(N67+O68-P68-Q68,2)</f>
        <v>0</v>
      </c>
      <c r="O68" s="30" t="n">
        <f aca="false">ROUND(N67*$E$20/12,2)</f>
        <v>0</v>
      </c>
      <c r="P68" s="30" t="n">
        <f aca="false">MIN($D$20,N67+O68)</f>
        <v>0</v>
      </c>
      <c r="Q68" s="30" t="n">
        <f aca="false">MAX(0,MIN($C$14-(H68+L68+P68+T68+X68+AB68)-(I68+M68),N67+O68-P68))</f>
        <v>0</v>
      </c>
      <c r="R68" s="30" t="n">
        <f aca="false">ROUND(R67+S68-T68-U68,2)</f>
        <v>0</v>
      </c>
      <c r="S68" s="30" t="n">
        <f aca="false">ROUND(R67*$E$21/12,2)</f>
        <v>0</v>
      </c>
      <c r="T68" s="30" t="n">
        <f aca="false">MIN($D$21,R67+S68)</f>
        <v>0</v>
      </c>
      <c r="U68" s="30" t="n">
        <f aca="false">MAX(0,MIN($C$14-(H68+L68+P68+T68+X68+AB68)-(I68+M68+Q68),R67+S68-T68))</f>
        <v>0</v>
      </c>
      <c r="V68" s="30" t="n">
        <f aca="false">ROUND(V67+W68-X68-Y68,2)</f>
        <v>0</v>
      </c>
      <c r="W68" s="30" t="n">
        <f aca="false">ROUND(V67*$E$22/12,2)</f>
        <v>0</v>
      </c>
      <c r="X68" s="30" t="n">
        <f aca="false">MIN($D$22,V67+W68)</f>
        <v>0</v>
      </c>
      <c r="Y68" s="30" t="n">
        <f aca="false">MAX(0,MIN($C$14-(H68+L68+P68+T68+X68+AB68)-(I68+M68+Q68+U68),V67+W68-X68))</f>
        <v>0</v>
      </c>
      <c r="Z68" s="30" t="n">
        <f aca="false">ROUND(Z67+AA68-AB68-AC68,2)</f>
        <v>0</v>
      </c>
      <c r="AA68" s="30" t="n">
        <f aca="false">ROUND(Z67*$E$23/12,2)</f>
        <v>0</v>
      </c>
      <c r="AB68" s="30" t="n">
        <f aca="false">MIN($D$23,Z67+AA68)</f>
        <v>0</v>
      </c>
      <c r="AC68" s="30" t="n">
        <f aca="false">MAX(0,MIN($C$14-(H68+L68+P68+T68+X68+AB68)-(I68+M68+Q68+U68+Y68),Z67+AA68-AB68))</f>
        <v>0</v>
      </c>
    </row>
    <row r="69" customFormat="false" ht="15" hidden="false" customHeight="false" outlineLevel="0" collapsed="false">
      <c r="A69" s="29" t="n">
        <v>29</v>
      </c>
      <c r="B69" s="30" t="n">
        <f aca="false">F69+J69+N69+R69+V69+Z69</f>
        <v>0</v>
      </c>
      <c r="C69" s="30" t="n">
        <f aca="false">$C$14-E69</f>
        <v>8050</v>
      </c>
      <c r="D69" s="30" t="n">
        <f aca="false">G69+K69+O69+S69+W69+AA69</f>
        <v>0</v>
      </c>
      <c r="E69" s="30" t="n">
        <f aca="false">H69+I69+L69+M69+P69+Q69+T69+U69+X69+Y69+AB69+AC69</f>
        <v>0</v>
      </c>
      <c r="F69" s="30" t="n">
        <f aca="false">ROUND(F68+G69-H69-I69,2)</f>
        <v>0</v>
      </c>
      <c r="G69" s="30" t="n">
        <f aca="false">ROUND(F68*$E$18/12,2)</f>
        <v>0</v>
      </c>
      <c r="H69" s="30" t="n">
        <f aca="false">MIN($D$18,F68+G69)</f>
        <v>0</v>
      </c>
      <c r="I69" s="30" t="n">
        <f aca="false">MAX(0,MIN($C$14-(H69+L69+P69+T69+X69+AB69)-0,F68+G69-H69))</f>
        <v>0</v>
      </c>
      <c r="J69" s="30" t="n">
        <f aca="false">ROUND(J68+K69-L69-M69,2)</f>
        <v>0</v>
      </c>
      <c r="K69" s="30" t="n">
        <f aca="false">ROUND(J68*$E$19/12,2)</f>
        <v>0</v>
      </c>
      <c r="L69" s="30" t="n">
        <f aca="false">MIN($D$19,J68+K69)</f>
        <v>0</v>
      </c>
      <c r="M69" s="30" t="n">
        <f aca="false">MAX(0,MIN($C$14-(H69+L69+P69+T69+X69+AB69)-(I69),J68+K69-L69))</f>
        <v>0</v>
      </c>
      <c r="N69" s="30" t="n">
        <f aca="false">ROUND(N68+O69-P69-Q69,2)</f>
        <v>0</v>
      </c>
      <c r="O69" s="30" t="n">
        <f aca="false">ROUND(N68*$E$20/12,2)</f>
        <v>0</v>
      </c>
      <c r="P69" s="30" t="n">
        <f aca="false">MIN($D$20,N68+O69)</f>
        <v>0</v>
      </c>
      <c r="Q69" s="30" t="n">
        <f aca="false">MAX(0,MIN($C$14-(H69+L69+P69+T69+X69+AB69)-(I69+M69),N68+O69-P69))</f>
        <v>0</v>
      </c>
      <c r="R69" s="30" t="n">
        <f aca="false">ROUND(R68+S69-T69-U69,2)</f>
        <v>0</v>
      </c>
      <c r="S69" s="30" t="n">
        <f aca="false">ROUND(R68*$E$21/12,2)</f>
        <v>0</v>
      </c>
      <c r="T69" s="30" t="n">
        <f aca="false">MIN($D$21,R68+S69)</f>
        <v>0</v>
      </c>
      <c r="U69" s="30" t="n">
        <f aca="false">MAX(0,MIN($C$14-(H69+L69+P69+T69+X69+AB69)-(I69+M69+Q69),R68+S69-T69))</f>
        <v>0</v>
      </c>
      <c r="V69" s="30" t="n">
        <f aca="false">ROUND(V68+W69-X69-Y69,2)</f>
        <v>0</v>
      </c>
      <c r="W69" s="30" t="n">
        <f aca="false">ROUND(V68*$E$22/12,2)</f>
        <v>0</v>
      </c>
      <c r="X69" s="30" t="n">
        <f aca="false">MIN($D$22,V68+W69)</f>
        <v>0</v>
      </c>
      <c r="Y69" s="30" t="n">
        <f aca="false">MAX(0,MIN($C$14-(H69+L69+P69+T69+X69+AB69)-(I69+M69+Q69+U69),V68+W69-X69))</f>
        <v>0</v>
      </c>
      <c r="Z69" s="30" t="n">
        <f aca="false">ROUND(Z68+AA69-AB69-AC69,2)</f>
        <v>0</v>
      </c>
      <c r="AA69" s="30" t="n">
        <f aca="false">ROUND(Z68*$E$23/12,2)</f>
        <v>0</v>
      </c>
      <c r="AB69" s="30" t="n">
        <f aca="false">MIN($D$23,Z68+AA69)</f>
        <v>0</v>
      </c>
      <c r="AC69" s="30" t="n">
        <f aca="false">MAX(0,MIN($C$14-(H69+L69+P69+T69+X69+AB69)-(I69+M69+Q69+U69+Y69),Z68+AA69-AB69))</f>
        <v>0</v>
      </c>
    </row>
    <row r="70" customFormat="false" ht="15" hidden="false" customHeight="false" outlineLevel="0" collapsed="false">
      <c r="A70" s="29" t="n">
        <v>30</v>
      </c>
      <c r="B70" s="30" t="n">
        <f aca="false">F70+J70+N70+R70+V70+Z70</f>
        <v>0</v>
      </c>
      <c r="C70" s="30" t="n">
        <f aca="false">$C$14-E70</f>
        <v>8050</v>
      </c>
      <c r="D70" s="30" t="n">
        <f aca="false">G70+K70+O70+S70+W70+AA70</f>
        <v>0</v>
      </c>
      <c r="E70" s="30" t="n">
        <f aca="false">H70+I70+L70+M70+P70+Q70+T70+U70+X70+Y70+AB70+AC70</f>
        <v>0</v>
      </c>
      <c r="F70" s="30" t="n">
        <f aca="false">ROUND(F69+G70-H70-I70,2)</f>
        <v>0</v>
      </c>
      <c r="G70" s="30" t="n">
        <f aca="false">ROUND(F69*$E$18/12,2)</f>
        <v>0</v>
      </c>
      <c r="H70" s="30" t="n">
        <f aca="false">MIN($D$18,F69+G70)</f>
        <v>0</v>
      </c>
      <c r="I70" s="30" t="n">
        <f aca="false">MAX(0,MIN($C$14-(H70+L70+P70+T70+X70+AB70)-0,F69+G70-H70))</f>
        <v>0</v>
      </c>
      <c r="J70" s="30" t="n">
        <f aca="false">ROUND(J69+K70-L70-M70,2)</f>
        <v>0</v>
      </c>
      <c r="K70" s="30" t="n">
        <f aca="false">ROUND(J69*$E$19/12,2)</f>
        <v>0</v>
      </c>
      <c r="L70" s="30" t="n">
        <f aca="false">MIN($D$19,J69+K70)</f>
        <v>0</v>
      </c>
      <c r="M70" s="30" t="n">
        <f aca="false">MAX(0,MIN($C$14-(H70+L70+P70+T70+X70+AB70)-(I70),J69+K70-L70))</f>
        <v>0</v>
      </c>
      <c r="N70" s="30" t="n">
        <f aca="false">ROUND(N69+O70-P70-Q70,2)</f>
        <v>0</v>
      </c>
      <c r="O70" s="30" t="n">
        <f aca="false">ROUND(N69*$E$20/12,2)</f>
        <v>0</v>
      </c>
      <c r="P70" s="30" t="n">
        <f aca="false">MIN($D$20,N69+O70)</f>
        <v>0</v>
      </c>
      <c r="Q70" s="30" t="n">
        <f aca="false">MAX(0,MIN($C$14-(H70+L70+P70+T70+X70+AB70)-(I70+M70),N69+O70-P70))</f>
        <v>0</v>
      </c>
      <c r="R70" s="30" t="n">
        <f aca="false">ROUND(R69+S70-T70-U70,2)</f>
        <v>0</v>
      </c>
      <c r="S70" s="30" t="n">
        <f aca="false">ROUND(R69*$E$21/12,2)</f>
        <v>0</v>
      </c>
      <c r="T70" s="30" t="n">
        <f aca="false">MIN($D$21,R69+S70)</f>
        <v>0</v>
      </c>
      <c r="U70" s="30" t="n">
        <f aca="false">MAX(0,MIN($C$14-(H70+L70+P70+T70+X70+AB70)-(I70+M70+Q70),R69+S70-T70))</f>
        <v>0</v>
      </c>
      <c r="V70" s="30" t="n">
        <f aca="false">ROUND(V69+W70-X70-Y70,2)</f>
        <v>0</v>
      </c>
      <c r="W70" s="30" t="n">
        <f aca="false">ROUND(V69*$E$22/12,2)</f>
        <v>0</v>
      </c>
      <c r="X70" s="30" t="n">
        <f aca="false">MIN($D$22,V69+W70)</f>
        <v>0</v>
      </c>
      <c r="Y70" s="30" t="n">
        <f aca="false">MAX(0,MIN($C$14-(H70+L70+P70+T70+X70+AB70)-(I70+M70+Q70+U70),V69+W70-X70))</f>
        <v>0</v>
      </c>
      <c r="Z70" s="30" t="n">
        <f aca="false">ROUND(Z69+AA70-AB70-AC70,2)</f>
        <v>0</v>
      </c>
      <c r="AA70" s="30" t="n">
        <f aca="false">ROUND(Z69*$E$23/12,2)</f>
        <v>0</v>
      </c>
      <c r="AB70" s="30" t="n">
        <f aca="false">MIN($D$23,Z69+AA70)</f>
        <v>0</v>
      </c>
      <c r="AC70" s="30" t="n">
        <f aca="false">MAX(0,MIN($C$14-(H70+L70+P70+T70+X70+AB70)-(I70+M70+Q70+U70+Y70),Z69+AA70-AB70))</f>
        <v>0</v>
      </c>
    </row>
    <row r="71" customFormat="false" ht="15" hidden="false" customHeight="false" outlineLevel="0" collapsed="false">
      <c r="A71" s="29" t="n">
        <v>31</v>
      </c>
      <c r="B71" s="30" t="n">
        <f aca="false">F71+J71+N71+R71+V71+Z71</f>
        <v>0</v>
      </c>
      <c r="C71" s="30" t="n">
        <f aca="false">$C$14-E71</f>
        <v>8050</v>
      </c>
      <c r="D71" s="30" t="n">
        <f aca="false">G71+K71+O71+S71+W71+AA71</f>
        <v>0</v>
      </c>
      <c r="E71" s="30" t="n">
        <f aca="false">H71+I71+L71+M71+P71+Q71+T71+U71+X71+Y71+AB71+AC71</f>
        <v>0</v>
      </c>
      <c r="F71" s="30" t="n">
        <f aca="false">ROUND(F70+G71-H71-I71,2)</f>
        <v>0</v>
      </c>
      <c r="G71" s="30" t="n">
        <f aca="false">ROUND(F70*$E$18/12,2)</f>
        <v>0</v>
      </c>
      <c r="H71" s="30" t="n">
        <f aca="false">MIN($D$18,F70+G71)</f>
        <v>0</v>
      </c>
      <c r="I71" s="30" t="n">
        <f aca="false">MAX(0,MIN($C$14-(H71+L71+P71+T71+X71+AB71)-0,F70+G71-H71))</f>
        <v>0</v>
      </c>
      <c r="J71" s="30" t="n">
        <f aca="false">ROUND(J70+K71-L71-M71,2)</f>
        <v>0</v>
      </c>
      <c r="K71" s="30" t="n">
        <f aca="false">ROUND(J70*$E$19/12,2)</f>
        <v>0</v>
      </c>
      <c r="L71" s="30" t="n">
        <f aca="false">MIN($D$19,J70+K71)</f>
        <v>0</v>
      </c>
      <c r="M71" s="30" t="n">
        <f aca="false">MAX(0,MIN($C$14-(H71+L71+P71+T71+X71+AB71)-(I71),J70+K71-L71))</f>
        <v>0</v>
      </c>
      <c r="N71" s="30" t="n">
        <f aca="false">ROUND(N70+O71-P71-Q71,2)</f>
        <v>0</v>
      </c>
      <c r="O71" s="30" t="n">
        <f aca="false">ROUND(N70*$E$20/12,2)</f>
        <v>0</v>
      </c>
      <c r="P71" s="30" t="n">
        <f aca="false">MIN($D$20,N70+O71)</f>
        <v>0</v>
      </c>
      <c r="Q71" s="30" t="n">
        <f aca="false">MAX(0,MIN($C$14-(H71+L71+P71+T71+X71+AB71)-(I71+M71),N70+O71-P71))</f>
        <v>0</v>
      </c>
      <c r="R71" s="30" t="n">
        <f aca="false">ROUND(R70+S71-T71-U71,2)</f>
        <v>0</v>
      </c>
      <c r="S71" s="30" t="n">
        <f aca="false">ROUND(R70*$E$21/12,2)</f>
        <v>0</v>
      </c>
      <c r="T71" s="30" t="n">
        <f aca="false">MIN($D$21,R70+S71)</f>
        <v>0</v>
      </c>
      <c r="U71" s="30" t="n">
        <f aca="false">MAX(0,MIN($C$14-(H71+L71+P71+T71+X71+AB71)-(I71+M71+Q71),R70+S71-T71))</f>
        <v>0</v>
      </c>
      <c r="V71" s="30" t="n">
        <f aca="false">ROUND(V70+W71-X71-Y71,2)</f>
        <v>0</v>
      </c>
      <c r="W71" s="30" t="n">
        <f aca="false">ROUND(V70*$E$22/12,2)</f>
        <v>0</v>
      </c>
      <c r="X71" s="30" t="n">
        <f aca="false">MIN($D$22,V70+W71)</f>
        <v>0</v>
      </c>
      <c r="Y71" s="30" t="n">
        <f aca="false">MAX(0,MIN($C$14-(H71+L71+P71+T71+X71+AB71)-(I71+M71+Q71+U71),V70+W71-X71))</f>
        <v>0</v>
      </c>
      <c r="Z71" s="30" t="n">
        <f aca="false">ROUND(Z70+AA71-AB71-AC71,2)</f>
        <v>0</v>
      </c>
      <c r="AA71" s="30" t="n">
        <f aca="false">ROUND(Z70*$E$23/12,2)</f>
        <v>0</v>
      </c>
      <c r="AB71" s="30" t="n">
        <f aca="false">MIN($D$23,Z70+AA71)</f>
        <v>0</v>
      </c>
      <c r="AC71" s="30" t="n">
        <f aca="false">MAX(0,MIN($C$14-(H71+L71+P71+T71+X71+AB71)-(I71+M71+Q71+U71+Y71),Z70+AA71-AB71))</f>
        <v>0</v>
      </c>
    </row>
    <row r="72" customFormat="false" ht="15" hidden="false" customHeight="false" outlineLevel="0" collapsed="false">
      <c r="A72" s="29" t="n">
        <v>32</v>
      </c>
      <c r="B72" s="30" t="n">
        <f aca="false">F72+J72+N72+R72+V72+Z72</f>
        <v>0</v>
      </c>
      <c r="C72" s="30" t="n">
        <f aca="false">$C$14-E72</f>
        <v>8050</v>
      </c>
      <c r="D72" s="30" t="n">
        <f aca="false">G72+K72+O72+S72+W72+AA72</f>
        <v>0</v>
      </c>
      <c r="E72" s="30" t="n">
        <f aca="false">H72+I72+L72+M72+P72+Q72+T72+U72+X72+Y72+AB72+AC72</f>
        <v>0</v>
      </c>
      <c r="F72" s="30" t="n">
        <f aca="false">ROUND(F71+G72-H72-I72,2)</f>
        <v>0</v>
      </c>
      <c r="G72" s="30" t="n">
        <f aca="false">ROUND(F71*$E$18/12,2)</f>
        <v>0</v>
      </c>
      <c r="H72" s="30" t="n">
        <f aca="false">MIN($D$18,F71+G72)</f>
        <v>0</v>
      </c>
      <c r="I72" s="30" t="n">
        <f aca="false">MAX(0,MIN($C$14-(H72+L72+P72+T72+X72+AB72)-0,F71+G72-H72))</f>
        <v>0</v>
      </c>
      <c r="J72" s="30" t="n">
        <f aca="false">ROUND(J71+K72-L72-M72,2)</f>
        <v>0</v>
      </c>
      <c r="K72" s="30" t="n">
        <f aca="false">ROUND(J71*$E$19/12,2)</f>
        <v>0</v>
      </c>
      <c r="L72" s="30" t="n">
        <f aca="false">MIN($D$19,J71+K72)</f>
        <v>0</v>
      </c>
      <c r="M72" s="30" t="n">
        <f aca="false">MAX(0,MIN($C$14-(H72+L72+P72+T72+X72+AB72)-(I72),J71+K72-L72))</f>
        <v>0</v>
      </c>
      <c r="N72" s="30" t="n">
        <f aca="false">ROUND(N71+O72-P72-Q72,2)</f>
        <v>0</v>
      </c>
      <c r="O72" s="30" t="n">
        <f aca="false">ROUND(N71*$E$20/12,2)</f>
        <v>0</v>
      </c>
      <c r="P72" s="30" t="n">
        <f aca="false">MIN($D$20,N71+O72)</f>
        <v>0</v>
      </c>
      <c r="Q72" s="30" t="n">
        <f aca="false">MAX(0,MIN($C$14-(H72+L72+P72+T72+X72+AB72)-(I72+M72),N71+O72-P72))</f>
        <v>0</v>
      </c>
      <c r="R72" s="30" t="n">
        <f aca="false">ROUND(R71+S72-T72-U72,2)</f>
        <v>0</v>
      </c>
      <c r="S72" s="30" t="n">
        <f aca="false">ROUND(R71*$E$21/12,2)</f>
        <v>0</v>
      </c>
      <c r="T72" s="30" t="n">
        <f aca="false">MIN($D$21,R71+S72)</f>
        <v>0</v>
      </c>
      <c r="U72" s="30" t="n">
        <f aca="false">MAX(0,MIN($C$14-(H72+L72+P72+T72+X72+AB72)-(I72+M72+Q72),R71+S72-T72))</f>
        <v>0</v>
      </c>
      <c r="V72" s="30" t="n">
        <f aca="false">ROUND(V71+W72-X72-Y72,2)</f>
        <v>0</v>
      </c>
      <c r="W72" s="30" t="n">
        <f aca="false">ROUND(V71*$E$22/12,2)</f>
        <v>0</v>
      </c>
      <c r="X72" s="30" t="n">
        <f aca="false">MIN($D$22,V71+W72)</f>
        <v>0</v>
      </c>
      <c r="Y72" s="30" t="n">
        <f aca="false">MAX(0,MIN($C$14-(H72+L72+P72+T72+X72+AB72)-(I72+M72+Q72+U72),V71+W72-X72))</f>
        <v>0</v>
      </c>
      <c r="Z72" s="30" t="n">
        <f aca="false">ROUND(Z71+AA72-AB72-AC72,2)</f>
        <v>0</v>
      </c>
      <c r="AA72" s="30" t="n">
        <f aca="false">ROUND(Z71*$E$23/12,2)</f>
        <v>0</v>
      </c>
      <c r="AB72" s="30" t="n">
        <f aca="false">MIN($D$23,Z71+AA72)</f>
        <v>0</v>
      </c>
      <c r="AC72" s="30" t="n">
        <f aca="false">MAX(0,MIN($C$14-(H72+L72+P72+T72+X72+AB72)-(I72+M72+Q72+U72+Y72),Z71+AA72-AB72))</f>
        <v>0</v>
      </c>
    </row>
    <row r="73" customFormat="false" ht="15" hidden="false" customHeight="false" outlineLevel="0" collapsed="false">
      <c r="A73" s="29" t="n">
        <v>33</v>
      </c>
      <c r="B73" s="30" t="n">
        <f aca="false">F73+J73+N73+R73+V73+Z73</f>
        <v>0</v>
      </c>
      <c r="C73" s="30" t="n">
        <f aca="false">$C$14-E73</f>
        <v>8050</v>
      </c>
      <c r="D73" s="30" t="n">
        <f aca="false">G73+K73+O73+S73+W73+AA73</f>
        <v>0</v>
      </c>
      <c r="E73" s="30" t="n">
        <f aca="false">H73+I73+L73+M73+P73+Q73+T73+U73+X73+Y73+AB73+AC73</f>
        <v>0</v>
      </c>
      <c r="F73" s="30" t="n">
        <f aca="false">ROUND(F72+G73-H73-I73,2)</f>
        <v>0</v>
      </c>
      <c r="G73" s="30" t="n">
        <f aca="false">ROUND(F72*$E$18/12,2)</f>
        <v>0</v>
      </c>
      <c r="H73" s="30" t="n">
        <f aca="false">MIN($D$18,F72+G73)</f>
        <v>0</v>
      </c>
      <c r="I73" s="30" t="n">
        <f aca="false">MAX(0,MIN($C$14-(H73+L73+P73+T73+X73+AB73)-0,F72+G73-H73))</f>
        <v>0</v>
      </c>
      <c r="J73" s="30" t="n">
        <f aca="false">ROUND(J72+K73-L73-M73,2)</f>
        <v>0</v>
      </c>
      <c r="K73" s="30" t="n">
        <f aca="false">ROUND(J72*$E$19/12,2)</f>
        <v>0</v>
      </c>
      <c r="L73" s="30" t="n">
        <f aca="false">MIN($D$19,J72+K73)</f>
        <v>0</v>
      </c>
      <c r="M73" s="30" t="n">
        <f aca="false">MAX(0,MIN($C$14-(H73+L73+P73+T73+X73+AB73)-(I73),J72+K73-L73))</f>
        <v>0</v>
      </c>
      <c r="N73" s="30" t="n">
        <f aca="false">ROUND(N72+O73-P73-Q73,2)</f>
        <v>0</v>
      </c>
      <c r="O73" s="30" t="n">
        <f aca="false">ROUND(N72*$E$20/12,2)</f>
        <v>0</v>
      </c>
      <c r="P73" s="30" t="n">
        <f aca="false">MIN($D$20,N72+O73)</f>
        <v>0</v>
      </c>
      <c r="Q73" s="30" t="n">
        <f aca="false">MAX(0,MIN($C$14-(H73+L73+P73+T73+X73+AB73)-(I73+M73),N72+O73-P73))</f>
        <v>0</v>
      </c>
      <c r="R73" s="30" t="n">
        <f aca="false">ROUND(R72+S73-T73-U73,2)</f>
        <v>0</v>
      </c>
      <c r="S73" s="30" t="n">
        <f aca="false">ROUND(R72*$E$21/12,2)</f>
        <v>0</v>
      </c>
      <c r="T73" s="30" t="n">
        <f aca="false">MIN($D$21,R72+S73)</f>
        <v>0</v>
      </c>
      <c r="U73" s="30" t="n">
        <f aca="false">MAX(0,MIN($C$14-(H73+L73+P73+T73+X73+AB73)-(I73+M73+Q73),R72+S73-T73))</f>
        <v>0</v>
      </c>
      <c r="V73" s="30" t="n">
        <f aca="false">ROUND(V72+W73-X73-Y73,2)</f>
        <v>0</v>
      </c>
      <c r="W73" s="30" t="n">
        <f aca="false">ROUND(V72*$E$22/12,2)</f>
        <v>0</v>
      </c>
      <c r="X73" s="30" t="n">
        <f aca="false">MIN($D$22,V72+W73)</f>
        <v>0</v>
      </c>
      <c r="Y73" s="30" t="n">
        <f aca="false">MAX(0,MIN($C$14-(H73+L73+P73+T73+X73+AB73)-(I73+M73+Q73+U73),V72+W73-X73))</f>
        <v>0</v>
      </c>
      <c r="Z73" s="30" t="n">
        <f aca="false">ROUND(Z72+AA73-AB73-AC73,2)</f>
        <v>0</v>
      </c>
      <c r="AA73" s="30" t="n">
        <f aca="false">ROUND(Z72*$E$23/12,2)</f>
        <v>0</v>
      </c>
      <c r="AB73" s="30" t="n">
        <f aca="false">MIN($D$23,Z72+AA73)</f>
        <v>0</v>
      </c>
      <c r="AC73" s="30" t="n">
        <f aca="false">MAX(0,MIN($C$14-(H73+L73+P73+T73+X73+AB73)-(I73+M73+Q73+U73+Y73),Z72+AA73-AB73))</f>
        <v>0</v>
      </c>
    </row>
    <row r="74" customFormat="false" ht="15" hidden="false" customHeight="false" outlineLevel="0" collapsed="false">
      <c r="A74" s="29" t="n">
        <v>34</v>
      </c>
      <c r="B74" s="30" t="n">
        <f aca="false">F74+J74+N74+R74+V74+Z74</f>
        <v>0</v>
      </c>
      <c r="C74" s="30" t="n">
        <f aca="false">$C$14-E74</f>
        <v>8050</v>
      </c>
      <c r="D74" s="30" t="n">
        <f aca="false">G74+K74+O74+S74+W74+AA74</f>
        <v>0</v>
      </c>
      <c r="E74" s="30" t="n">
        <f aca="false">H74+I74+L74+M74+P74+Q74+T74+U74+X74+Y74+AB74+AC74</f>
        <v>0</v>
      </c>
      <c r="F74" s="30" t="n">
        <f aca="false">ROUND(F73+G74-H74-I74,2)</f>
        <v>0</v>
      </c>
      <c r="G74" s="30" t="n">
        <f aca="false">ROUND(F73*$E$18/12,2)</f>
        <v>0</v>
      </c>
      <c r="H74" s="30" t="n">
        <f aca="false">MIN($D$18,F73+G74)</f>
        <v>0</v>
      </c>
      <c r="I74" s="30" t="n">
        <f aca="false">MAX(0,MIN($C$14-(H74+L74+P74+T74+X74+AB74)-0,F73+G74-H74))</f>
        <v>0</v>
      </c>
      <c r="J74" s="30" t="n">
        <f aca="false">ROUND(J73+K74-L74-M74,2)</f>
        <v>0</v>
      </c>
      <c r="K74" s="30" t="n">
        <f aca="false">ROUND(J73*$E$19/12,2)</f>
        <v>0</v>
      </c>
      <c r="L74" s="30" t="n">
        <f aca="false">MIN($D$19,J73+K74)</f>
        <v>0</v>
      </c>
      <c r="M74" s="30" t="n">
        <f aca="false">MAX(0,MIN($C$14-(H74+L74+P74+T74+X74+AB74)-(I74),J73+K74-L74))</f>
        <v>0</v>
      </c>
      <c r="N74" s="30" t="n">
        <f aca="false">ROUND(N73+O74-P74-Q74,2)</f>
        <v>0</v>
      </c>
      <c r="O74" s="30" t="n">
        <f aca="false">ROUND(N73*$E$20/12,2)</f>
        <v>0</v>
      </c>
      <c r="P74" s="30" t="n">
        <f aca="false">MIN($D$20,N73+O74)</f>
        <v>0</v>
      </c>
      <c r="Q74" s="30" t="n">
        <f aca="false">MAX(0,MIN($C$14-(H74+L74+P74+T74+X74+AB74)-(I74+M74),N73+O74-P74))</f>
        <v>0</v>
      </c>
      <c r="R74" s="30" t="n">
        <f aca="false">ROUND(R73+S74-T74-U74,2)</f>
        <v>0</v>
      </c>
      <c r="S74" s="30" t="n">
        <f aca="false">ROUND(R73*$E$21/12,2)</f>
        <v>0</v>
      </c>
      <c r="T74" s="30" t="n">
        <f aca="false">MIN($D$21,R73+S74)</f>
        <v>0</v>
      </c>
      <c r="U74" s="30" t="n">
        <f aca="false">MAX(0,MIN($C$14-(H74+L74+P74+T74+X74+AB74)-(I74+M74+Q74),R73+S74-T74))</f>
        <v>0</v>
      </c>
      <c r="V74" s="30" t="n">
        <f aca="false">ROUND(V73+W74-X74-Y74,2)</f>
        <v>0</v>
      </c>
      <c r="W74" s="30" t="n">
        <f aca="false">ROUND(V73*$E$22/12,2)</f>
        <v>0</v>
      </c>
      <c r="X74" s="30" t="n">
        <f aca="false">MIN($D$22,V73+W74)</f>
        <v>0</v>
      </c>
      <c r="Y74" s="30" t="n">
        <f aca="false">MAX(0,MIN($C$14-(H74+L74+P74+T74+X74+AB74)-(I74+M74+Q74+U74),V73+W74-X74))</f>
        <v>0</v>
      </c>
      <c r="Z74" s="30" t="n">
        <f aca="false">ROUND(Z73+AA74-AB74-AC74,2)</f>
        <v>0</v>
      </c>
      <c r="AA74" s="30" t="n">
        <f aca="false">ROUND(Z73*$E$23/12,2)</f>
        <v>0</v>
      </c>
      <c r="AB74" s="30" t="n">
        <f aca="false">MIN($D$23,Z73+AA74)</f>
        <v>0</v>
      </c>
      <c r="AC74" s="30" t="n">
        <f aca="false">MAX(0,MIN($C$14-(H74+L74+P74+T74+X74+AB74)-(I74+M74+Q74+U74+Y74),Z73+AA74-AB74))</f>
        <v>0</v>
      </c>
    </row>
    <row r="75" customFormat="false" ht="15" hidden="false" customHeight="false" outlineLevel="0" collapsed="false">
      <c r="A75" s="29" t="n">
        <v>35</v>
      </c>
      <c r="B75" s="30" t="n">
        <f aca="false">F75+J75+N75+R75+V75+Z75</f>
        <v>0</v>
      </c>
      <c r="C75" s="30" t="n">
        <f aca="false">$C$14-E75</f>
        <v>8050</v>
      </c>
      <c r="D75" s="30" t="n">
        <f aca="false">G75+K75+O75+S75+W75+AA75</f>
        <v>0</v>
      </c>
      <c r="E75" s="30" t="n">
        <f aca="false">H75+I75+L75+M75+P75+Q75+T75+U75+X75+Y75+AB75+AC75</f>
        <v>0</v>
      </c>
      <c r="F75" s="30" t="n">
        <f aca="false">ROUND(F74+G75-H75-I75,2)</f>
        <v>0</v>
      </c>
      <c r="G75" s="30" t="n">
        <f aca="false">ROUND(F74*$E$18/12,2)</f>
        <v>0</v>
      </c>
      <c r="H75" s="30" t="n">
        <f aca="false">MIN($D$18,F74+G75)</f>
        <v>0</v>
      </c>
      <c r="I75" s="30" t="n">
        <f aca="false">MAX(0,MIN($C$14-(H75+L75+P75+T75+X75+AB75)-0,F74+G75-H75))</f>
        <v>0</v>
      </c>
      <c r="J75" s="30" t="n">
        <f aca="false">ROUND(J74+K75-L75-M75,2)</f>
        <v>0</v>
      </c>
      <c r="K75" s="30" t="n">
        <f aca="false">ROUND(J74*$E$19/12,2)</f>
        <v>0</v>
      </c>
      <c r="L75" s="30" t="n">
        <f aca="false">MIN($D$19,J74+K75)</f>
        <v>0</v>
      </c>
      <c r="M75" s="30" t="n">
        <f aca="false">MAX(0,MIN($C$14-(H75+L75+P75+T75+X75+AB75)-(I75),J74+K75-L75))</f>
        <v>0</v>
      </c>
      <c r="N75" s="30" t="n">
        <f aca="false">ROUND(N74+O75-P75-Q75,2)</f>
        <v>0</v>
      </c>
      <c r="O75" s="30" t="n">
        <f aca="false">ROUND(N74*$E$20/12,2)</f>
        <v>0</v>
      </c>
      <c r="P75" s="30" t="n">
        <f aca="false">MIN($D$20,N74+O75)</f>
        <v>0</v>
      </c>
      <c r="Q75" s="30" t="n">
        <f aca="false">MAX(0,MIN($C$14-(H75+L75+P75+T75+X75+AB75)-(I75+M75),N74+O75-P75))</f>
        <v>0</v>
      </c>
      <c r="R75" s="30" t="n">
        <f aca="false">ROUND(R74+S75-T75-U75,2)</f>
        <v>0</v>
      </c>
      <c r="S75" s="30" t="n">
        <f aca="false">ROUND(R74*$E$21/12,2)</f>
        <v>0</v>
      </c>
      <c r="T75" s="30" t="n">
        <f aca="false">MIN($D$21,R74+S75)</f>
        <v>0</v>
      </c>
      <c r="U75" s="30" t="n">
        <f aca="false">MAX(0,MIN($C$14-(H75+L75+P75+T75+X75+AB75)-(I75+M75+Q75),R74+S75-T75))</f>
        <v>0</v>
      </c>
      <c r="V75" s="30" t="n">
        <f aca="false">ROUND(V74+W75-X75-Y75,2)</f>
        <v>0</v>
      </c>
      <c r="W75" s="30" t="n">
        <f aca="false">ROUND(V74*$E$22/12,2)</f>
        <v>0</v>
      </c>
      <c r="X75" s="30" t="n">
        <f aca="false">MIN($D$22,V74+W75)</f>
        <v>0</v>
      </c>
      <c r="Y75" s="30" t="n">
        <f aca="false">MAX(0,MIN($C$14-(H75+L75+P75+T75+X75+AB75)-(I75+M75+Q75+U75),V74+W75-X75))</f>
        <v>0</v>
      </c>
      <c r="Z75" s="30" t="n">
        <f aca="false">ROUND(Z74+AA75-AB75-AC75,2)</f>
        <v>0</v>
      </c>
      <c r="AA75" s="30" t="n">
        <f aca="false">ROUND(Z74*$E$23/12,2)</f>
        <v>0</v>
      </c>
      <c r="AB75" s="30" t="n">
        <f aca="false">MIN($D$23,Z74+AA75)</f>
        <v>0</v>
      </c>
      <c r="AC75" s="30" t="n">
        <f aca="false">MAX(0,MIN($C$14-(H75+L75+P75+T75+X75+AB75)-(I75+M75+Q75+U75+Y75),Z74+AA75-AB75))</f>
        <v>0</v>
      </c>
    </row>
    <row r="76" customFormat="false" ht="15" hidden="false" customHeight="false" outlineLevel="0" collapsed="false">
      <c r="A76" s="29" t="n">
        <v>36</v>
      </c>
      <c r="B76" s="30" t="n">
        <f aca="false">F76+J76+N76+R76+V76+Z76</f>
        <v>0</v>
      </c>
      <c r="C76" s="30" t="n">
        <f aca="false">$C$14-E76</f>
        <v>8050</v>
      </c>
      <c r="D76" s="30" t="n">
        <f aca="false">G76+K76+O76+S76+W76+AA76</f>
        <v>0</v>
      </c>
      <c r="E76" s="30" t="n">
        <f aca="false">H76+I76+L76+M76+P76+Q76+T76+U76+X76+Y76+AB76+AC76</f>
        <v>0</v>
      </c>
      <c r="F76" s="30" t="n">
        <f aca="false">ROUND(F75+G76-H76-I76,2)</f>
        <v>0</v>
      </c>
      <c r="G76" s="30" t="n">
        <f aca="false">ROUND(F75*$E$18/12,2)</f>
        <v>0</v>
      </c>
      <c r="H76" s="30" t="n">
        <f aca="false">MIN($D$18,F75+G76)</f>
        <v>0</v>
      </c>
      <c r="I76" s="30" t="n">
        <f aca="false">MAX(0,MIN($C$14-(H76+L76+P76+T76+X76+AB76)-0,F75+G76-H76))</f>
        <v>0</v>
      </c>
      <c r="J76" s="30" t="n">
        <f aca="false">ROUND(J75+K76-L76-M76,2)</f>
        <v>0</v>
      </c>
      <c r="K76" s="30" t="n">
        <f aca="false">ROUND(J75*$E$19/12,2)</f>
        <v>0</v>
      </c>
      <c r="L76" s="30" t="n">
        <f aca="false">MIN($D$19,J75+K76)</f>
        <v>0</v>
      </c>
      <c r="M76" s="30" t="n">
        <f aca="false">MAX(0,MIN($C$14-(H76+L76+P76+T76+X76+AB76)-(I76),J75+K76-L76))</f>
        <v>0</v>
      </c>
      <c r="N76" s="30" t="n">
        <f aca="false">ROUND(N75+O76-P76-Q76,2)</f>
        <v>0</v>
      </c>
      <c r="O76" s="30" t="n">
        <f aca="false">ROUND(N75*$E$20/12,2)</f>
        <v>0</v>
      </c>
      <c r="P76" s="30" t="n">
        <f aca="false">MIN($D$20,N75+O76)</f>
        <v>0</v>
      </c>
      <c r="Q76" s="30" t="n">
        <f aca="false">MAX(0,MIN($C$14-(H76+L76+P76+T76+X76+AB76)-(I76+M76),N75+O76-P76))</f>
        <v>0</v>
      </c>
      <c r="R76" s="30" t="n">
        <f aca="false">ROUND(R75+S76-T76-U76,2)</f>
        <v>0</v>
      </c>
      <c r="S76" s="30" t="n">
        <f aca="false">ROUND(R75*$E$21/12,2)</f>
        <v>0</v>
      </c>
      <c r="T76" s="30" t="n">
        <f aca="false">MIN($D$21,R75+S76)</f>
        <v>0</v>
      </c>
      <c r="U76" s="30" t="n">
        <f aca="false">MAX(0,MIN($C$14-(H76+L76+P76+T76+X76+AB76)-(I76+M76+Q76),R75+S76-T76))</f>
        <v>0</v>
      </c>
      <c r="V76" s="30" t="n">
        <f aca="false">ROUND(V75+W76-X76-Y76,2)</f>
        <v>0</v>
      </c>
      <c r="W76" s="30" t="n">
        <f aca="false">ROUND(V75*$E$22/12,2)</f>
        <v>0</v>
      </c>
      <c r="X76" s="30" t="n">
        <f aca="false">MIN($D$22,V75+W76)</f>
        <v>0</v>
      </c>
      <c r="Y76" s="30" t="n">
        <f aca="false">MAX(0,MIN($C$14-(H76+L76+P76+T76+X76+AB76)-(I76+M76+Q76+U76),V75+W76-X76))</f>
        <v>0</v>
      </c>
      <c r="Z76" s="30" t="n">
        <f aca="false">ROUND(Z75+AA76-AB76-AC76,2)</f>
        <v>0</v>
      </c>
      <c r="AA76" s="30" t="n">
        <f aca="false">ROUND(Z75*$E$23/12,2)</f>
        <v>0</v>
      </c>
      <c r="AB76" s="30" t="n">
        <f aca="false">MIN($D$23,Z75+AA76)</f>
        <v>0</v>
      </c>
      <c r="AC76" s="30" t="n">
        <f aca="false">MAX(0,MIN($C$14-(H76+L76+P76+T76+X76+AB76)-(I76+M76+Q76+U76+Y76),Z75+AA76-AB76))</f>
        <v>0</v>
      </c>
    </row>
    <row r="77" customFormat="false" ht="15" hidden="false" customHeight="false" outlineLevel="0" collapsed="false">
      <c r="A77" s="29" t="n">
        <v>37</v>
      </c>
      <c r="B77" s="30" t="n">
        <f aca="false">F77+J77+N77+R77+V77+Z77</f>
        <v>0</v>
      </c>
      <c r="C77" s="30" t="n">
        <f aca="false">$C$14-E77</f>
        <v>8050</v>
      </c>
      <c r="D77" s="30" t="n">
        <f aca="false">G77+K77+O77+S77+W77+AA77</f>
        <v>0</v>
      </c>
      <c r="E77" s="30" t="n">
        <f aca="false">H77+I77+L77+M77+P77+Q77+T77+U77+X77+Y77+AB77+AC77</f>
        <v>0</v>
      </c>
      <c r="F77" s="30" t="n">
        <f aca="false">ROUND(F76+G77-H77-I77,2)</f>
        <v>0</v>
      </c>
      <c r="G77" s="30" t="n">
        <f aca="false">ROUND(F76*$E$18/12,2)</f>
        <v>0</v>
      </c>
      <c r="H77" s="30" t="n">
        <f aca="false">MIN($D$18,F76+G77)</f>
        <v>0</v>
      </c>
      <c r="I77" s="30" t="n">
        <f aca="false">MAX(0,MIN($C$14-(H77+L77+P77+T77+X77+AB77)-0,F76+G77-H77))</f>
        <v>0</v>
      </c>
      <c r="J77" s="30" t="n">
        <f aca="false">ROUND(J76+K77-L77-M77,2)</f>
        <v>0</v>
      </c>
      <c r="K77" s="30" t="n">
        <f aca="false">ROUND(J76*$E$19/12,2)</f>
        <v>0</v>
      </c>
      <c r="L77" s="30" t="n">
        <f aca="false">MIN($D$19,J76+K77)</f>
        <v>0</v>
      </c>
      <c r="M77" s="30" t="n">
        <f aca="false">MAX(0,MIN($C$14-(H77+L77+P77+T77+X77+AB77)-(I77),J76+K77-L77))</f>
        <v>0</v>
      </c>
      <c r="N77" s="30" t="n">
        <f aca="false">ROUND(N76+O77-P77-Q77,2)</f>
        <v>0</v>
      </c>
      <c r="O77" s="30" t="n">
        <f aca="false">ROUND(N76*$E$20/12,2)</f>
        <v>0</v>
      </c>
      <c r="P77" s="30" t="n">
        <f aca="false">MIN($D$20,N76+O77)</f>
        <v>0</v>
      </c>
      <c r="Q77" s="30" t="n">
        <f aca="false">MAX(0,MIN($C$14-(H77+L77+P77+T77+X77+AB77)-(I77+M77),N76+O77-P77))</f>
        <v>0</v>
      </c>
      <c r="R77" s="30" t="n">
        <f aca="false">ROUND(R76+S77-T77-U77,2)</f>
        <v>0</v>
      </c>
      <c r="S77" s="30" t="n">
        <f aca="false">ROUND(R76*$E$21/12,2)</f>
        <v>0</v>
      </c>
      <c r="T77" s="30" t="n">
        <f aca="false">MIN($D$21,R76+S77)</f>
        <v>0</v>
      </c>
      <c r="U77" s="30" t="n">
        <f aca="false">MAX(0,MIN($C$14-(H77+L77+P77+T77+X77+AB77)-(I77+M77+Q77),R76+S77-T77))</f>
        <v>0</v>
      </c>
      <c r="V77" s="30" t="n">
        <f aca="false">ROUND(V76+W77-X77-Y77,2)</f>
        <v>0</v>
      </c>
      <c r="W77" s="30" t="n">
        <f aca="false">ROUND(V76*$E$22/12,2)</f>
        <v>0</v>
      </c>
      <c r="X77" s="30" t="n">
        <f aca="false">MIN($D$22,V76+W77)</f>
        <v>0</v>
      </c>
      <c r="Y77" s="30" t="n">
        <f aca="false">MAX(0,MIN($C$14-(H77+L77+P77+T77+X77+AB77)-(I77+M77+Q77+U77),V76+W77-X77))</f>
        <v>0</v>
      </c>
      <c r="Z77" s="30" t="n">
        <f aca="false">ROUND(Z76+AA77-AB77-AC77,2)</f>
        <v>0</v>
      </c>
      <c r="AA77" s="30" t="n">
        <f aca="false">ROUND(Z76*$E$23/12,2)</f>
        <v>0</v>
      </c>
      <c r="AB77" s="30" t="n">
        <f aca="false">MIN($D$23,Z76+AA77)</f>
        <v>0</v>
      </c>
      <c r="AC77" s="30" t="n">
        <f aca="false">MAX(0,MIN($C$14-(H77+L77+P77+T77+X77+AB77)-(I77+M77+Q77+U77+Y77),Z76+AA77-AB77))</f>
        <v>0</v>
      </c>
    </row>
    <row r="78" customFormat="false" ht="15" hidden="false" customHeight="false" outlineLevel="0" collapsed="false">
      <c r="A78" s="29" t="n">
        <v>38</v>
      </c>
      <c r="B78" s="30" t="n">
        <f aca="false">F78+J78+N78+R78+V78+Z78</f>
        <v>0</v>
      </c>
      <c r="C78" s="30" t="n">
        <f aca="false">$C$14-E78</f>
        <v>8050</v>
      </c>
      <c r="D78" s="30" t="n">
        <f aca="false">G78+K78+O78+S78+W78+AA78</f>
        <v>0</v>
      </c>
      <c r="E78" s="30" t="n">
        <f aca="false">H78+I78+L78+M78+P78+Q78+T78+U78+X78+Y78+AB78+AC78</f>
        <v>0</v>
      </c>
      <c r="F78" s="30" t="n">
        <f aca="false">ROUND(F77+G78-H78-I78,2)</f>
        <v>0</v>
      </c>
      <c r="G78" s="30" t="n">
        <f aca="false">ROUND(F77*$E$18/12,2)</f>
        <v>0</v>
      </c>
      <c r="H78" s="30" t="n">
        <f aca="false">MIN($D$18,F77+G78)</f>
        <v>0</v>
      </c>
      <c r="I78" s="30" t="n">
        <f aca="false">MAX(0,MIN($C$14-(H78+L78+P78+T78+X78+AB78)-0,F77+G78-H78))</f>
        <v>0</v>
      </c>
      <c r="J78" s="30" t="n">
        <f aca="false">ROUND(J77+K78-L78-M78,2)</f>
        <v>0</v>
      </c>
      <c r="K78" s="30" t="n">
        <f aca="false">ROUND(J77*$E$19/12,2)</f>
        <v>0</v>
      </c>
      <c r="L78" s="30" t="n">
        <f aca="false">MIN($D$19,J77+K78)</f>
        <v>0</v>
      </c>
      <c r="M78" s="30" t="n">
        <f aca="false">MAX(0,MIN($C$14-(H78+L78+P78+T78+X78+AB78)-(I78),J77+K78-L78))</f>
        <v>0</v>
      </c>
      <c r="N78" s="30" t="n">
        <f aca="false">ROUND(N77+O78-P78-Q78,2)</f>
        <v>0</v>
      </c>
      <c r="O78" s="30" t="n">
        <f aca="false">ROUND(N77*$E$20/12,2)</f>
        <v>0</v>
      </c>
      <c r="P78" s="30" t="n">
        <f aca="false">MIN($D$20,N77+O78)</f>
        <v>0</v>
      </c>
      <c r="Q78" s="30" t="n">
        <f aca="false">MAX(0,MIN($C$14-(H78+L78+P78+T78+X78+AB78)-(I78+M78),N77+O78-P78))</f>
        <v>0</v>
      </c>
      <c r="R78" s="30" t="n">
        <f aca="false">ROUND(R77+S78-T78-U78,2)</f>
        <v>0</v>
      </c>
      <c r="S78" s="30" t="n">
        <f aca="false">ROUND(R77*$E$21/12,2)</f>
        <v>0</v>
      </c>
      <c r="T78" s="30" t="n">
        <f aca="false">MIN($D$21,R77+S78)</f>
        <v>0</v>
      </c>
      <c r="U78" s="30" t="n">
        <f aca="false">MAX(0,MIN($C$14-(H78+L78+P78+T78+X78+AB78)-(I78+M78+Q78),R77+S78-T78))</f>
        <v>0</v>
      </c>
      <c r="V78" s="30" t="n">
        <f aca="false">ROUND(V77+W78-X78-Y78,2)</f>
        <v>0</v>
      </c>
      <c r="W78" s="30" t="n">
        <f aca="false">ROUND(V77*$E$22/12,2)</f>
        <v>0</v>
      </c>
      <c r="X78" s="30" t="n">
        <f aca="false">MIN($D$22,V77+W78)</f>
        <v>0</v>
      </c>
      <c r="Y78" s="30" t="n">
        <f aca="false">MAX(0,MIN($C$14-(H78+L78+P78+T78+X78+AB78)-(I78+M78+Q78+U78),V77+W78-X78))</f>
        <v>0</v>
      </c>
      <c r="Z78" s="30" t="n">
        <f aca="false">ROUND(Z77+AA78-AB78-AC78,2)</f>
        <v>0</v>
      </c>
      <c r="AA78" s="30" t="n">
        <f aca="false">ROUND(Z77*$E$23/12,2)</f>
        <v>0</v>
      </c>
      <c r="AB78" s="30" t="n">
        <f aca="false">MIN($D$23,Z77+AA78)</f>
        <v>0</v>
      </c>
      <c r="AC78" s="30" t="n">
        <f aca="false">MAX(0,MIN($C$14-(H78+L78+P78+T78+X78+AB78)-(I78+M78+Q78+U78+Y78),Z77+AA78-AB78))</f>
        <v>0</v>
      </c>
    </row>
    <row r="79" customFormat="false" ht="15" hidden="false" customHeight="false" outlineLevel="0" collapsed="false">
      <c r="A79" s="29" t="n">
        <v>39</v>
      </c>
      <c r="B79" s="30" t="n">
        <f aca="false">F79+J79+N79+R79+V79+Z79</f>
        <v>0</v>
      </c>
      <c r="C79" s="30" t="n">
        <f aca="false">$C$14-E79</f>
        <v>8050</v>
      </c>
      <c r="D79" s="30" t="n">
        <f aca="false">G79+K79+O79+S79+W79+AA79</f>
        <v>0</v>
      </c>
      <c r="E79" s="30" t="n">
        <f aca="false">H79+I79+L79+M79+P79+Q79+T79+U79+X79+Y79+AB79+AC79</f>
        <v>0</v>
      </c>
      <c r="F79" s="30" t="n">
        <f aca="false">ROUND(F78+G79-H79-I79,2)</f>
        <v>0</v>
      </c>
      <c r="G79" s="30" t="n">
        <f aca="false">ROUND(F78*$E$18/12,2)</f>
        <v>0</v>
      </c>
      <c r="H79" s="30" t="n">
        <f aca="false">MIN($D$18,F78+G79)</f>
        <v>0</v>
      </c>
      <c r="I79" s="30" t="n">
        <f aca="false">MAX(0,MIN($C$14-(H79+L79+P79+T79+X79+AB79)-0,F78+G79-H79))</f>
        <v>0</v>
      </c>
      <c r="J79" s="30" t="n">
        <f aca="false">ROUND(J78+K79-L79-M79,2)</f>
        <v>0</v>
      </c>
      <c r="K79" s="30" t="n">
        <f aca="false">ROUND(J78*$E$19/12,2)</f>
        <v>0</v>
      </c>
      <c r="L79" s="30" t="n">
        <f aca="false">MIN($D$19,J78+K79)</f>
        <v>0</v>
      </c>
      <c r="M79" s="30" t="n">
        <f aca="false">MAX(0,MIN($C$14-(H79+L79+P79+T79+X79+AB79)-(I79),J78+K79-L79))</f>
        <v>0</v>
      </c>
      <c r="N79" s="30" t="n">
        <f aca="false">ROUND(N78+O79-P79-Q79,2)</f>
        <v>0</v>
      </c>
      <c r="O79" s="30" t="n">
        <f aca="false">ROUND(N78*$E$20/12,2)</f>
        <v>0</v>
      </c>
      <c r="P79" s="30" t="n">
        <f aca="false">MIN($D$20,N78+O79)</f>
        <v>0</v>
      </c>
      <c r="Q79" s="30" t="n">
        <f aca="false">MAX(0,MIN($C$14-(H79+L79+P79+T79+X79+AB79)-(I79+M79),N78+O79-P79))</f>
        <v>0</v>
      </c>
      <c r="R79" s="30" t="n">
        <f aca="false">ROUND(R78+S79-T79-U79,2)</f>
        <v>0</v>
      </c>
      <c r="S79" s="30" t="n">
        <f aca="false">ROUND(R78*$E$21/12,2)</f>
        <v>0</v>
      </c>
      <c r="T79" s="30" t="n">
        <f aca="false">MIN($D$21,R78+S79)</f>
        <v>0</v>
      </c>
      <c r="U79" s="30" t="n">
        <f aca="false">MAX(0,MIN($C$14-(H79+L79+P79+T79+X79+AB79)-(I79+M79+Q79),R78+S79-T79))</f>
        <v>0</v>
      </c>
      <c r="V79" s="30" t="n">
        <f aca="false">ROUND(V78+W79-X79-Y79,2)</f>
        <v>0</v>
      </c>
      <c r="W79" s="30" t="n">
        <f aca="false">ROUND(V78*$E$22/12,2)</f>
        <v>0</v>
      </c>
      <c r="X79" s="30" t="n">
        <f aca="false">MIN($D$22,V78+W79)</f>
        <v>0</v>
      </c>
      <c r="Y79" s="30" t="n">
        <f aca="false">MAX(0,MIN($C$14-(H79+L79+P79+T79+X79+AB79)-(I79+M79+Q79+U79),V78+W79-X79))</f>
        <v>0</v>
      </c>
      <c r="Z79" s="30" t="n">
        <f aca="false">ROUND(Z78+AA79-AB79-AC79,2)</f>
        <v>0</v>
      </c>
      <c r="AA79" s="30" t="n">
        <f aca="false">ROUND(Z78*$E$23/12,2)</f>
        <v>0</v>
      </c>
      <c r="AB79" s="30" t="n">
        <f aca="false">MIN($D$23,Z78+AA79)</f>
        <v>0</v>
      </c>
      <c r="AC79" s="30" t="n">
        <f aca="false">MAX(0,MIN($C$14-(H79+L79+P79+T79+X79+AB79)-(I79+M79+Q79+U79+Y79),Z78+AA79-AB79))</f>
        <v>0</v>
      </c>
    </row>
    <row r="80" customFormat="false" ht="15" hidden="false" customHeight="false" outlineLevel="0" collapsed="false">
      <c r="A80" s="29" t="n">
        <v>40</v>
      </c>
      <c r="B80" s="30" t="n">
        <f aca="false">F80+J80+N80+R80+V80+Z80</f>
        <v>0</v>
      </c>
      <c r="C80" s="30" t="n">
        <f aca="false">$C$14-E80</f>
        <v>8050</v>
      </c>
      <c r="D80" s="30" t="n">
        <f aca="false">G80+K80+O80+S80+W80+AA80</f>
        <v>0</v>
      </c>
      <c r="E80" s="30" t="n">
        <f aca="false">H80+I80+L80+M80+P80+Q80+T80+U80+X80+Y80+AB80+AC80</f>
        <v>0</v>
      </c>
      <c r="F80" s="30" t="n">
        <f aca="false">ROUND(F79+G80-H80-I80,2)</f>
        <v>0</v>
      </c>
      <c r="G80" s="30" t="n">
        <f aca="false">ROUND(F79*$E$18/12,2)</f>
        <v>0</v>
      </c>
      <c r="H80" s="30" t="n">
        <f aca="false">MIN($D$18,F79+G80)</f>
        <v>0</v>
      </c>
      <c r="I80" s="30" t="n">
        <f aca="false">MAX(0,MIN($C$14-(H80+L80+P80+T80+X80+AB80)-0,F79+G80-H80))</f>
        <v>0</v>
      </c>
      <c r="J80" s="30" t="n">
        <f aca="false">ROUND(J79+K80-L80-M80,2)</f>
        <v>0</v>
      </c>
      <c r="K80" s="30" t="n">
        <f aca="false">ROUND(J79*$E$19/12,2)</f>
        <v>0</v>
      </c>
      <c r="L80" s="30" t="n">
        <f aca="false">MIN($D$19,J79+K80)</f>
        <v>0</v>
      </c>
      <c r="M80" s="30" t="n">
        <f aca="false">MAX(0,MIN($C$14-(H80+L80+P80+T80+X80+AB80)-(I80),J79+K80-L80))</f>
        <v>0</v>
      </c>
      <c r="N80" s="30" t="n">
        <f aca="false">ROUND(N79+O80-P80-Q80,2)</f>
        <v>0</v>
      </c>
      <c r="O80" s="30" t="n">
        <f aca="false">ROUND(N79*$E$20/12,2)</f>
        <v>0</v>
      </c>
      <c r="P80" s="30" t="n">
        <f aca="false">MIN($D$20,N79+O80)</f>
        <v>0</v>
      </c>
      <c r="Q80" s="30" t="n">
        <f aca="false">MAX(0,MIN($C$14-(H80+L80+P80+T80+X80+AB80)-(I80+M80),N79+O80-P80))</f>
        <v>0</v>
      </c>
      <c r="R80" s="30" t="n">
        <f aca="false">ROUND(R79+S80-T80-U80,2)</f>
        <v>0</v>
      </c>
      <c r="S80" s="30" t="n">
        <f aca="false">ROUND(R79*$E$21/12,2)</f>
        <v>0</v>
      </c>
      <c r="T80" s="30" t="n">
        <f aca="false">MIN($D$21,R79+S80)</f>
        <v>0</v>
      </c>
      <c r="U80" s="30" t="n">
        <f aca="false">MAX(0,MIN($C$14-(H80+L80+P80+T80+X80+AB80)-(I80+M80+Q80),R79+S80-T80))</f>
        <v>0</v>
      </c>
      <c r="V80" s="30" t="n">
        <f aca="false">ROUND(V79+W80-X80-Y80,2)</f>
        <v>0</v>
      </c>
      <c r="W80" s="30" t="n">
        <f aca="false">ROUND(V79*$E$22/12,2)</f>
        <v>0</v>
      </c>
      <c r="X80" s="30" t="n">
        <f aca="false">MIN($D$22,V79+W80)</f>
        <v>0</v>
      </c>
      <c r="Y80" s="30" t="n">
        <f aca="false">MAX(0,MIN($C$14-(H80+L80+P80+T80+X80+AB80)-(I80+M80+Q80+U80),V79+W80-X80))</f>
        <v>0</v>
      </c>
      <c r="Z80" s="30" t="n">
        <f aca="false">ROUND(Z79+AA80-AB80-AC80,2)</f>
        <v>0</v>
      </c>
      <c r="AA80" s="30" t="n">
        <f aca="false">ROUND(Z79*$E$23/12,2)</f>
        <v>0</v>
      </c>
      <c r="AB80" s="30" t="n">
        <f aca="false">MIN($D$23,Z79+AA80)</f>
        <v>0</v>
      </c>
      <c r="AC80" s="30" t="n">
        <f aca="false">MAX(0,MIN($C$14-(H80+L80+P80+T80+X80+AB80)-(I80+M80+Q80+U80+Y80),Z79+AA80-AB80))</f>
        <v>0</v>
      </c>
    </row>
    <row r="81" customFormat="false" ht="15" hidden="false" customHeight="false" outlineLevel="0" collapsed="false">
      <c r="A81" s="29" t="n">
        <v>41</v>
      </c>
      <c r="B81" s="30" t="n">
        <f aca="false">F81+J81+N81+R81+V81+Z81</f>
        <v>0</v>
      </c>
      <c r="C81" s="30" t="n">
        <f aca="false">$C$14-E81</f>
        <v>8050</v>
      </c>
      <c r="D81" s="30" t="n">
        <f aca="false">G81+K81+O81+S81+W81+AA81</f>
        <v>0</v>
      </c>
      <c r="E81" s="30" t="n">
        <f aca="false">H81+I81+L81+M81+P81+Q81+T81+U81+X81+Y81+AB81+AC81</f>
        <v>0</v>
      </c>
      <c r="F81" s="30" t="n">
        <f aca="false">ROUND(F80+G81-H81-I81,2)</f>
        <v>0</v>
      </c>
      <c r="G81" s="30" t="n">
        <f aca="false">ROUND(F80*$E$18/12,2)</f>
        <v>0</v>
      </c>
      <c r="H81" s="30" t="n">
        <f aca="false">MIN($D$18,F80+G81)</f>
        <v>0</v>
      </c>
      <c r="I81" s="30" t="n">
        <f aca="false">MAX(0,MIN($C$14-(H81+L81+P81+T81+X81+AB81)-0,F80+G81-H81))</f>
        <v>0</v>
      </c>
      <c r="J81" s="30" t="n">
        <f aca="false">ROUND(J80+K81-L81-M81,2)</f>
        <v>0</v>
      </c>
      <c r="K81" s="30" t="n">
        <f aca="false">ROUND(J80*$E$19/12,2)</f>
        <v>0</v>
      </c>
      <c r="L81" s="30" t="n">
        <f aca="false">MIN($D$19,J80+K81)</f>
        <v>0</v>
      </c>
      <c r="M81" s="30" t="n">
        <f aca="false">MAX(0,MIN($C$14-(H81+L81+P81+T81+X81+AB81)-(I81),J80+K81-L81))</f>
        <v>0</v>
      </c>
      <c r="N81" s="30" t="n">
        <f aca="false">ROUND(N80+O81-P81-Q81,2)</f>
        <v>0</v>
      </c>
      <c r="O81" s="30" t="n">
        <f aca="false">ROUND(N80*$E$20/12,2)</f>
        <v>0</v>
      </c>
      <c r="P81" s="30" t="n">
        <f aca="false">MIN($D$20,N80+O81)</f>
        <v>0</v>
      </c>
      <c r="Q81" s="30" t="n">
        <f aca="false">MAX(0,MIN($C$14-(H81+L81+P81+T81+X81+AB81)-(I81+M81),N80+O81-P81))</f>
        <v>0</v>
      </c>
      <c r="R81" s="30" t="n">
        <f aca="false">ROUND(R80+S81-T81-U81,2)</f>
        <v>0</v>
      </c>
      <c r="S81" s="30" t="n">
        <f aca="false">ROUND(R80*$E$21/12,2)</f>
        <v>0</v>
      </c>
      <c r="T81" s="30" t="n">
        <f aca="false">MIN($D$21,R80+S81)</f>
        <v>0</v>
      </c>
      <c r="U81" s="30" t="n">
        <f aca="false">MAX(0,MIN($C$14-(H81+L81+P81+T81+X81+AB81)-(I81+M81+Q81),R80+S81-T81))</f>
        <v>0</v>
      </c>
      <c r="V81" s="30" t="n">
        <f aca="false">ROUND(V80+W81-X81-Y81,2)</f>
        <v>0</v>
      </c>
      <c r="W81" s="30" t="n">
        <f aca="false">ROUND(V80*$E$22/12,2)</f>
        <v>0</v>
      </c>
      <c r="X81" s="30" t="n">
        <f aca="false">MIN($D$22,V80+W81)</f>
        <v>0</v>
      </c>
      <c r="Y81" s="30" t="n">
        <f aca="false">MAX(0,MIN($C$14-(H81+L81+P81+T81+X81+AB81)-(I81+M81+Q81+U81),V80+W81-X81))</f>
        <v>0</v>
      </c>
      <c r="Z81" s="30" t="n">
        <f aca="false">ROUND(Z80+AA81-AB81-AC81,2)</f>
        <v>0</v>
      </c>
      <c r="AA81" s="30" t="n">
        <f aca="false">ROUND(Z80*$E$23/12,2)</f>
        <v>0</v>
      </c>
      <c r="AB81" s="30" t="n">
        <f aca="false">MIN($D$23,Z80+AA81)</f>
        <v>0</v>
      </c>
      <c r="AC81" s="30" t="n">
        <f aca="false">MAX(0,MIN($C$14-(H81+L81+P81+T81+X81+AB81)-(I81+M81+Q81+U81+Y81),Z80+AA81-AB81))</f>
        <v>0</v>
      </c>
    </row>
    <row r="82" customFormat="false" ht="15" hidden="false" customHeight="false" outlineLevel="0" collapsed="false">
      <c r="A82" s="29" t="n">
        <v>42</v>
      </c>
      <c r="B82" s="30" t="n">
        <f aca="false">F82+J82+N82+R82+V82+Z82</f>
        <v>0</v>
      </c>
      <c r="C82" s="30" t="n">
        <f aca="false">$C$14-E82</f>
        <v>8050</v>
      </c>
      <c r="D82" s="30" t="n">
        <f aca="false">G82+K82+O82+S82+W82+AA82</f>
        <v>0</v>
      </c>
      <c r="E82" s="30" t="n">
        <f aca="false">H82+I82+L82+M82+P82+Q82+T82+U82+X82+Y82+AB82+AC82</f>
        <v>0</v>
      </c>
      <c r="F82" s="30" t="n">
        <f aca="false">ROUND(F81+G82-H82-I82,2)</f>
        <v>0</v>
      </c>
      <c r="G82" s="30" t="n">
        <f aca="false">ROUND(F81*$E$18/12,2)</f>
        <v>0</v>
      </c>
      <c r="H82" s="30" t="n">
        <f aca="false">MIN($D$18,F81+G82)</f>
        <v>0</v>
      </c>
      <c r="I82" s="30" t="n">
        <f aca="false">MAX(0,MIN($C$14-(H82+L82+P82+T82+X82+AB82)-0,F81+G82-H82))</f>
        <v>0</v>
      </c>
      <c r="J82" s="30" t="n">
        <f aca="false">ROUND(J81+K82-L82-M82,2)</f>
        <v>0</v>
      </c>
      <c r="K82" s="30" t="n">
        <f aca="false">ROUND(J81*$E$19/12,2)</f>
        <v>0</v>
      </c>
      <c r="L82" s="30" t="n">
        <f aca="false">MIN($D$19,J81+K82)</f>
        <v>0</v>
      </c>
      <c r="M82" s="30" t="n">
        <f aca="false">MAX(0,MIN($C$14-(H82+L82+P82+T82+X82+AB82)-(I82),J81+K82-L82))</f>
        <v>0</v>
      </c>
      <c r="N82" s="30" t="n">
        <f aca="false">ROUND(N81+O82-P82-Q82,2)</f>
        <v>0</v>
      </c>
      <c r="O82" s="30" t="n">
        <f aca="false">ROUND(N81*$E$20/12,2)</f>
        <v>0</v>
      </c>
      <c r="P82" s="30" t="n">
        <f aca="false">MIN($D$20,N81+O82)</f>
        <v>0</v>
      </c>
      <c r="Q82" s="30" t="n">
        <f aca="false">MAX(0,MIN($C$14-(H82+L82+P82+T82+X82+AB82)-(I82+M82),N81+O82-P82))</f>
        <v>0</v>
      </c>
      <c r="R82" s="30" t="n">
        <f aca="false">ROUND(R81+S82-T82-U82,2)</f>
        <v>0</v>
      </c>
      <c r="S82" s="30" t="n">
        <f aca="false">ROUND(R81*$E$21/12,2)</f>
        <v>0</v>
      </c>
      <c r="T82" s="30" t="n">
        <f aca="false">MIN($D$21,R81+S82)</f>
        <v>0</v>
      </c>
      <c r="U82" s="30" t="n">
        <f aca="false">MAX(0,MIN($C$14-(H82+L82+P82+T82+X82+AB82)-(I82+M82+Q82),R81+S82-T82))</f>
        <v>0</v>
      </c>
      <c r="V82" s="30" t="n">
        <f aca="false">ROUND(V81+W82-X82-Y82,2)</f>
        <v>0</v>
      </c>
      <c r="W82" s="30" t="n">
        <f aca="false">ROUND(V81*$E$22/12,2)</f>
        <v>0</v>
      </c>
      <c r="X82" s="30" t="n">
        <f aca="false">MIN($D$22,V81+W82)</f>
        <v>0</v>
      </c>
      <c r="Y82" s="30" t="n">
        <f aca="false">MAX(0,MIN($C$14-(H82+L82+P82+T82+X82+AB82)-(I82+M82+Q82+U82),V81+W82-X82))</f>
        <v>0</v>
      </c>
      <c r="Z82" s="30" t="n">
        <f aca="false">ROUND(Z81+AA82-AB82-AC82,2)</f>
        <v>0</v>
      </c>
      <c r="AA82" s="30" t="n">
        <f aca="false">ROUND(Z81*$E$23/12,2)</f>
        <v>0</v>
      </c>
      <c r="AB82" s="30" t="n">
        <f aca="false">MIN($D$23,Z81+AA82)</f>
        <v>0</v>
      </c>
      <c r="AC82" s="30" t="n">
        <f aca="false">MAX(0,MIN($C$14-(H82+L82+P82+T82+X82+AB82)-(I82+M82+Q82+U82+Y82),Z81+AA82-AB82))</f>
        <v>0</v>
      </c>
    </row>
    <row r="83" customFormat="false" ht="15" hidden="false" customHeight="false" outlineLevel="0" collapsed="false">
      <c r="A83" s="29" t="n">
        <v>43</v>
      </c>
      <c r="B83" s="30" t="n">
        <f aca="false">F83+J83+N83+R83+V83+Z83</f>
        <v>0</v>
      </c>
      <c r="C83" s="30" t="n">
        <f aca="false">$C$14-E83</f>
        <v>8050</v>
      </c>
      <c r="D83" s="30" t="n">
        <f aca="false">G83+K83+O83+S83+W83+AA83</f>
        <v>0</v>
      </c>
      <c r="E83" s="30" t="n">
        <f aca="false">H83+I83+L83+M83+P83+Q83+T83+U83+X83+Y83+AB83+AC83</f>
        <v>0</v>
      </c>
      <c r="F83" s="30" t="n">
        <f aca="false">ROUND(F82+G83-H83-I83,2)</f>
        <v>0</v>
      </c>
      <c r="G83" s="30" t="n">
        <f aca="false">ROUND(F82*$E$18/12,2)</f>
        <v>0</v>
      </c>
      <c r="H83" s="30" t="n">
        <f aca="false">MIN($D$18,F82+G83)</f>
        <v>0</v>
      </c>
      <c r="I83" s="30" t="n">
        <f aca="false">MAX(0,MIN($C$14-(H83+L83+P83+T83+X83+AB83)-0,F82+G83-H83))</f>
        <v>0</v>
      </c>
      <c r="J83" s="30" t="n">
        <f aca="false">ROUND(J82+K83-L83-M83,2)</f>
        <v>0</v>
      </c>
      <c r="K83" s="30" t="n">
        <f aca="false">ROUND(J82*$E$19/12,2)</f>
        <v>0</v>
      </c>
      <c r="L83" s="30" t="n">
        <f aca="false">MIN($D$19,J82+K83)</f>
        <v>0</v>
      </c>
      <c r="M83" s="30" t="n">
        <f aca="false">MAX(0,MIN($C$14-(H83+L83+P83+T83+X83+AB83)-(I83),J82+K83-L83))</f>
        <v>0</v>
      </c>
      <c r="N83" s="30" t="n">
        <f aca="false">ROUND(N82+O83-P83-Q83,2)</f>
        <v>0</v>
      </c>
      <c r="O83" s="30" t="n">
        <f aca="false">ROUND(N82*$E$20/12,2)</f>
        <v>0</v>
      </c>
      <c r="P83" s="30" t="n">
        <f aca="false">MIN($D$20,N82+O83)</f>
        <v>0</v>
      </c>
      <c r="Q83" s="30" t="n">
        <f aca="false">MAX(0,MIN($C$14-(H83+L83+P83+T83+X83+AB83)-(I83+M83),N82+O83-P83))</f>
        <v>0</v>
      </c>
      <c r="R83" s="30" t="n">
        <f aca="false">ROUND(R82+S83-T83-U83,2)</f>
        <v>0</v>
      </c>
      <c r="S83" s="30" t="n">
        <f aca="false">ROUND(R82*$E$21/12,2)</f>
        <v>0</v>
      </c>
      <c r="T83" s="30" t="n">
        <f aca="false">MIN($D$21,R82+S83)</f>
        <v>0</v>
      </c>
      <c r="U83" s="30" t="n">
        <f aca="false">MAX(0,MIN($C$14-(H83+L83+P83+T83+X83+AB83)-(I83+M83+Q83),R82+S83-T83))</f>
        <v>0</v>
      </c>
      <c r="V83" s="30" t="n">
        <f aca="false">ROUND(V82+W83-X83-Y83,2)</f>
        <v>0</v>
      </c>
      <c r="W83" s="30" t="n">
        <f aca="false">ROUND(V82*$E$22/12,2)</f>
        <v>0</v>
      </c>
      <c r="X83" s="30" t="n">
        <f aca="false">MIN($D$22,V82+W83)</f>
        <v>0</v>
      </c>
      <c r="Y83" s="30" t="n">
        <f aca="false">MAX(0,MIN($C$14-(H83+L83+P83+T83+X83+AB83)-(I83+M83+Q83+U83),V82+W83-X83))</f>
        <v>0</v>
      </c>
      <c r="Z83" s="30" t="n">
        <f aca="false">ROUND(Z82+AA83-AB83-AC83,2)</f>
        <v>0</v>
      </c>
      <c r="AA83" s="30" t="n">
        <f aca="false">ROUND(Z82*$E$23/12,2)</f>
        <v>0</v>
      </c>
      <c r="AB83" s="30" t="n">
        <f aca="false">MIN($D$23,Z82+AA83)</f>
        <v>0</v>
      </c>
      <c r="AC83" s="30" t="n">
        <f aca="false">MAX(0,MIN($C$14-(H83+L83+P83+T83+X83+AB83)-(I83+M83+Q83+U83+Y83),Z82+AA83-AB83))</f>
        <v>0</v>
      </c>
    </row>
    <row r="84" customFormat="false" ht="15" hidden="false" customHeight="false" outlineLevel="0" collapsed="false">
      <c r="A84" s="29" t="n">
        <v>44</v>
      </c>
      <c r="B84" s="30" t="n">
        <f aca="false">F84+J84+N84+R84+V84+Z84</f>
        <v>0</v>
      </c>
      <c r="C84" s="30" t="n">
        <f aca="false">$C$14-E84</f>
        <v>8050</v>
      </c>
      <c r="D84" s="30" t="n">
        <f aca="false">G84+K84+O84+S84+W84+AA84</f>
        <v>0</v>
      </c>
      <c r="E84" s="30" t="n">
        <f aca="false">H84+I84+L84+M84+P84+Q84+T84+U84+X84+Y84+AB84+AC84</f>
        <v>0</v>
      </c>
      <c r="F84" s="30" t="n">
        <f aca="false">ROUND(F83+G84-H84-I84,2)</f>
        <v>0</v>
      </c>
      <c r="G84" s="30" t="n">
        <f aca="false">ROUND(F83*$E$18/12,2)</f>
        <v>0</v>
      </c>
      <c r="H84" s="30" t="n">
        <f aca="false">MIN($D$18,F83+G84)</f>
        <v>0</v>
      </c>
      <c r="I84" s="30" t="n">
        <f aca="false">MAX(0,MIN($C$14-(H84+L84+P84+T84+X84+AB84)-0,F83+G84-H84))</f>
        <v>0</v>
      </c>
      <c r="J84" s="30" t="n">
        <f aca="false">ROUND(J83+K84-L84-M84,2)</f>
        <v>0</v>
      </c>
      <c r="K84" s="30" t="n">
        <f aca="false">ROUND(J83*$E$19/12,2)</f>
        <v>0</v>
      </c>
      <c r="L84" s="30" t="n">
        <f aca="false">MIN($D$19,J83+K84)</f>
        <v>0</v>
      </c>
      <c r="M84" s="30" t="n">
        <f aca="false">MAX(0,MIN($C$14-(H84+L84+P84+T84+X84+AB84)-(I84),J83+K84-L84))</f>
        <v>0</v>
      </c>
      <c r="N84" s="30" t="n">
        <f aca="false">ROUND(N83+O84-P84-Q84,2)</f>
        <v>0</v>
      </c>
      <c r="O84" s="30" t="n">
        <f aca="false">ROUND(N83*$E$20/12,2)</f>
        <v>0</v>
      </c>
      <c r="P84" s="30" t="n">
        <f aca="false">MIN($D$20,N83+O84)</f>
        <v>0</v>
      </c>
      <c r="Q84" s="30" t="n">
        <f aca="false">MAX(0,MIN($C$14-(H84+L84+P84+T84+X84+AB84)-(I84+M84),N83+O84-P84))</f>
        <v>0</v>
      </c>
      <c r="R84" s="30" t="n">
        <f aca="false">ROUND(R83+S84-T84-U84,2)</f>
        <v>0</v>
      </c>
      <c r="S84" s="30" t="n">
        <f aca="false">ROUND(R83*$E$21/12,2)</f>
        <v>0</v>
      </c>
      <c r="T84" s="30" t="n">
        <f aca="false">MIN($D$21,R83+S84)</f>
        <v>0</v>
      </c>
      <c r="U84" s="30" t="n">
        <f aca="false">MAX(0,MIN($C$14-(H84+L84+P84+T84+X84+AB84)-(I84+M84+Q84),R83+S84-T84))</f>
        <v>0</v>
      </c>
      <c r="V84" s="30" t="n">
        <f aca="false">ROUND(V83+W84-X84-Y84,2)</f>
        <v>0</v>
      </c>
      <c r="W84" s="30" t="n">
        <f aca="false">ROUND(V83*$E$22/12,2)</f>
        <v>0</v>
      </c>
      <c r="X84" s="30" t="n">
        <f aca="false">MIN($D$22,V83+W84)</f>
        <v>0</v>
      </c>
      <c r="Y84" s="30" t="n">
        <f aca="false">MAX(0,MIN($C$14-(H84+L84+P84+T84+X84+AB84)-(I84+M84+Q84+U84),V83+W84-X84))</f>
        <v>0</v>
      </c>
      <c r="Z84" s="30" t="n">
        <f aca="false">ROUND(Z83+AA84-AB84-AC84,2)</f>
        <v>0</v>
      </c>
      <c r="AA84" s="30" t="n">
        <f aca="false">ROUND(Z83*$E$23/12,2)</f>
        <v>0</v>
      </c>
      <c r="AB84" s="30" t="n">
        <f aca="false">MIN($D$23,Z83+AA84)</f>
        <v>0</v>
      </c>
      <c r="AC84" s="30" t="n">
        <f aca="false">MAX(0,MIN($C$14-(H84+L84+P84+T84+X84+AB84)-(I84+M84+Q84+U84+Y84),Z83+AA84-AB84))</f>
        <v>0</v>
      </c>
    </row>
    <row r="85" customFormat="false" ht="15" hidden="false" customHeight="false" outlineLevel="0" collapsed="false">
      <c r="A85" s="29" t="n">
        <v>45</v>
      </c>
      <c r="B85" s="30" t="n">
        <f aca="false">F85+J85+N85+R85+V85+Z85</f>
        <v>0</v>
      </c>
      <c r="C85" s="30" t="n">
        <f aca="false">$C$14-E85</f>
        <v>8050</v>
      </c>
      <c r="D85" s="30" t="n">
        <f aca="false">G85+K85+O85+S85+W85+AA85</f>
        <v>0</v>
      </c>
      <c r="E85" s="30" t="n">
        <f aca="false">H85+I85+L85+M85+P85+Q85+T85+U85+X85+Y85+AB85+AC85</f>
        <v>0</v>
      </c>
      <c r="F85" s="30" t="n">
        <f aca="false">ROUND(F84+G85-H85-I85,2)</f>
        <v>0</v>
      </c>
      <c r="G85" s="30" t="n">
        <f aca="false">ROUND(F84*$E$18/12,2)</f>
        <v>0</v>
      </c>
      <c r="H85" s="30" t="n">
        <f aca="false">MIN($D$18,F84+G85)</f>
        <v>0</v>
      </c>
      <c r="I85" s="30" t="n">
        <f aca="false">MAX(0,MIN($C$14-(H85+L85+P85+T85+X85+AB85)-0,F84+G85-H85))</f>
        <v>0</v>
      </c>
      <c r="J85" s="30" t="n">
        <f aca="false">ROUND(J84+K85-L85-M85,2)</f>
        <v>0</v>
      </c>
      <c r="K85" s="30" t="n">
        <f aca="false">ROUND(J84*$E$19/12,2)</f>
        <v>0</v>
      </c>
      <c r="L85" s="30" t="n">
        <f aca="false">MIN($D$19,J84+K85)</f>
        <v>0</v>
      </c>
      <c r="M85" s="30" t="n">
        <f aca="false">MAX(0,MIN($C$14-(H85+L85+P85+T85+X85+AB85)-(I85),J84+K85-L85))</f>
        <v>0</v>
      </c>
      <c r="N85" s="30" t="n">
        <f aca="false">ROUND(N84+O85-P85-Q85,2)</f>
        <v>0</v>
      </c>
      <c r="O85" s="30" t="n">
        <f aca="false">ROUND(N84*$E$20/12,2)</f>
        <v>0</v>
      </c>
      <c r="P85" s="30" t="n">
        <f aca="false">MIN($D$20,N84+O85)</f>
        <v>0</v>
      </c>
      <c r="Q85" s="30" t="n">
        <f aca="false">MAX(0,MIN($C$14-(H85+L85+P85+T85+X85+AB85)-(I85+M85),N84+O85-P85))</f>
        <v>0</v>
      </c>
      <c r="R85" s="30" t="n">
        <f aca="false">ROUND(R84+S85-T85-U85,2)</f>
        <v>0</v>
      </c>
      <c r="S85" s="30" t="n">
        <f aca="false">ROUND(R84*$E$21/12,2)</f>
        <v>0</v>
      </c>
      <c r="T85" s="30" t="n">
        <f aca="false">MIN($D$21,R84+S85)</f>
        <v>0</v>
      </c>
      <c r="U85" s="30" t="n">
        <f aca="false">MAX(0,MIN($C$14-(H85+L85+P85+T85+X85+AB85)-(I85+M85+Q85),R84+S85-T85))</f>
        <v>0</v>
      </c>
      <c r="V85" s="30" t="n">
        <f aca="false">ROUND(V84+W85-X85-Y85,2)</f>
        <v>0</v>
      </c>
      <c r="W85" s="30" t="n">
        <f aca="false">ROUND(V84*$E$22/12,2)</f>
        <v>0</v>
      </c>
      <c r="X85" s="30" t="n">
        <f aca="false">MIN($D$22,V84+W85)</f>
        <v>0</v>
      </c>
      <c r="Y85" s="30" t="n">
        <f aca="false">MAX(0,MIN($C$14-(H85+L85+P85+T85+X85+AB85)-(I85+M85+Q85+U85),V84+W85-X85))</f>
        <v>0</v>
      </c>
      <c r="Z85" s="30" t="n">
        <f aca="false">ROUND(Z84+AA85-AB85-AC85,2)</f>
        <v>0</v>
      </c>
      <c r="AA85" s="30" t="n">
        <f aca="false">ROUND(Z84*$E$23/12,2)</f>
        <v>0</v>
      </c>
      <c r="AB85" s="30" t="n">
        <f aca="false">MIN($D$23,Z84+AA85)</f>
        <v>0</v>
      </c>
      <c r="AC85" s="30" t="n">
        <f aca="false">MAX(0,MIN($C$14-(H85+L85+P85+T85+X85+AB85)-(I85+M85+Q85+U85+Y85),Z84+AA85-AB85))</f>
        <v>0</v>
      </c>
    </row>
    <row r="86" customFormat="false" ht="15" hidden="false" customHeight="false" outlineLevel="0" collapsed="false">
      <c r="A86" s="29" t="n">
        <v>46</v>
      </c>
      <c r="B86" s="30" t="n">
        <f aca="false">F86+J86+N86+R86+V86+Z86</f>
        <v>0</v>
      </c>
      <c r="C86" s="30" t="n">
        <f aca="false">$C$14-E86</f>
        <v>8050</v>
      </c>
      <c r="D86" s="30" t="n">
        <f aca="false">G86+K86+O86+S86+W86+AA86</f>
        <v>0</v>
      </c>
      <c r="E86" s="30" t="n">
        <f aca="false">H86+I86+L86+M86+P86+Q86+T86+U86+X86+Y86+AB86+AC86</f>
        <v>0</v>
      </c>
      <c r="F86" s="30" t="n">
        <f aca="false">ROUND(F85+G86-H86-I86,2)</f>
        <v>0</v>
      </c>
      <c r="G86" s="30" t="n">
        <f aca="false">ROUND(F85*$E$18/12,2)</f>
        <v>0</v>
      </c>
      <c r="H86" s="30" t="n">
        <f aca="false">MIN($D$18,F85+G86)</f>
        <v>0</v>
      </c>
      <c r="I86" s="30" t="n">
        <f aca="false">MAX(0,MIN($C$14-(H86+L86+P86+T86+X86+AB86)-0,F85+G86-H86))</f>
        <v>0</v>
      </c>
      <c r="J86" s="30" t="n">
        <f aca="false">ROUND(J85+K86-L86-M86,2)</f>
        <v>0</v>
      </c>
      <c r="K86" s="30" t="n">
        <f aca="false">ROUND(J85*$E$19/12,2)</f>
        <v>0</v>
      </c>
      <c r="L86" s="30" t="n">
        <f aca="false">MIN($D$19,J85+K86)</f>
        <v>0</v>
      </c>
      <c r="M86" s="30" t="n">
        <f aca="false">MAX(0,MIN($C$14-(H86+L86+P86+T86+X86+AB86)-(I86),J85+K86-L86))</f>
        <v>0</v>
      </c>
      <c r="N86" s="30" t="n">
        <f aca="false">ROUND(N85+O86-P86-Q86,2)</f>
        <v>0</v>
      </c>
      <c r="O86" s="30" t="n">
        <f aca="false">ROUND(N85*$E$20/12,2)</f>
        <v>0</v>
      </c>
      <c r="P86" s="30" t="n">
        <f aca="false">MIN($D$20,N85+O86)</f>
        <v>0</v>
      </c>
      <c r="Q86" s="30" t="n">
        <f aca="false">MAX(0,MIN($C$14-(H86+L86+P86+T86+X86+AB86)-(I86+M86),N85+O86-P86))</f>
        <v>0</v>
      </c>
      <c r="R86" s="30" t="n">
        <f aca="false">ROUND(R85+S86-T86-U86,2)</f>
        <v>0</v>
      </c>
      <c r="S86" s="30" t="n">
        <f aca="false">ROUND(R85*$E$21/12,2)</f>
        <v>0</v>
      </c>
      <c r="T86" s="30" t="n">
        <f aca="false">MIN($D$21,R85+S86)</f>
        <v>0</v>
      </c>
      <c r="U86" s="30" t="n">
        <f aca="false">MAX(0,MIN($C$14-(H86+L86+P86+T86+X86+AB86)-(I86+M86+Q86),R85+S86-T86))</f>
        <v>0</v>
      </c>
      <c r="V86" s="30" t="n">
        <f aca="false">ROUND(V85+W86-X86-Y86,2)</f>
        <v>0</v>
      </c>
      <c r="W86" s="30" t="n">
        <f aca="false">ROUND(V85*$E$22/12,2)</f>
        <v>0</v>
      </c>
      <c r="X86" s="30" t="n">
        <f aca="false">MIN($D$22,V85+W86)</f>
        <v>0</v>
      </c>
      <c r="Y86" s="30" t="n">
        <f aca="false">MAX(0,MIN($C$14-(H86+L86+P86+T86+X86+AB86)-(I86+M86+Q86+U86),V85+W86-X86))</f>
        <v>0</v>
      </c>
      <c r="Z86" s="30" t="n">
        <f aca="false">ROUND(Z85+AA86-AB86-AC86,2)</f>
        <v>0</v>
      </c>
      <c r="AA86" s="30" t="n">
        <f aca="false">ROUND(Z85*$E$23/12,2)</f>
        <v>0</v>
      </c>
      <c r="AB86" s="30" t="n">
        <f aca="false">MIN($D$23,Z85+AA86)</f>
        <v>0</v>
      </c>
      <c r="AC86" s="30" t="n">
        <f aca="false">MAX(0,MIN($C$14-(H86+L86+P86+T86+X86+AB86)-(I86+M86+Q86+U86+Y86),Z85+AA86-AB86))</f>
        <v>0</v>
      </c>
    </row>
    <row r="87" customFormat="false" ht="15" hidden="false" customHeight="false" outlineLevel="0" collapsed="false">
      <c r="A87" s="29" t="n">
        <v>47</v>
      </c>
      <c r="B87" s="30" t="n">
        <f aca="false">F87+J87+N87+R87+V87+Z87</f>
        <v>0</v>
      </c>
      <c r="C87" s="30" t="n">
        <f aca="false">$C$14-E87</f>
        <v>8050</v>
      </c>
      <c r="D87" s="30" t="n">
        <f aca="false">G87+K87+O87+S87+W87+AA87</f>
        <v>0</v>
      </c>
      <c r="E87" s="30" t="n">
        <f aca="false">H87+I87+L87+M87+P87+Q87+T87+U87+X87+Y87+AB87+AC87</f>
        <v>0</v>
      </c>
      <c r="F87" s="30" t="n">
        <f aca="false">ROUND(F86+G87-H87-I87,2)</f>
        <v>0</v>
      </c>
      <c r="G87" s="30" t="n">
        <f aca="false">ROUND(F86*$E$18/12,2)</f>
        <v>0</v>
      </c>
      <c r="H87" s="30" t="n">
        <f aca="false">MIN($D$18,F86+G87)</f>
        <v>0</v>
      </c>
      <c r="I87" s="30" t="n">
        <f aca="false">MAX(0,MIN($C$14-(H87+L87+P87+T87+X87+AB87)-0,F86+G87-H87))</f>
        <v>0</v>
      </c>
      <c r="J87" s="30" t="n">
        <f aca="false">ROUND(J86+K87-L87-M87,2)</f>
        <v>0</v>
      </c>
      <c r="K87" s="30" t="n">
        <f aca="false">ROUND(J86*$E$19/12,2)</f>
        <v>0</v>
      </c>
      <c r="L87" s="30" t="n">
        <f aca="false">MIN($D$19,J86+K87)</f>
        <v>0</v>
      </c>
      <c r="M87" s="30" t="n">
        <f aca="false">MAX(0,MIN($C$14-(H87+L87+P87+T87+X87+AB87)-(I87),J86+K87-L87))</f>
        <v>0</v>
      </c>
      <c r="N87" s="30" t="n">
        <f aca="false">ROUND(N86+O87-P87-Q87,2)</f>
        <v>0</v>
      </c>
      <c r="O87" s="30" t="n">
        <f aca="false">ROUND(N86*$E$20/12,2)</f>
        <v>0</v>
      </c>
      <c r="P87" s="30" t="n">
        <f aca="false">MIN($D$20,N86+O87)</f>
        <v>0</v>
      </c>
      <c r="Q87" s="30" t="n">
        <f aca="false">MAX(0,MIN($C$14-(H87+L87+P87+T87+X87+AB87)-(I87+M87),N86+O87-P87))</f>
        <v>0</v>
      </c>
      <c r="R87" s="30" t="n">
        <f aca="false">ROUND(R86+S87-T87-U87,2)</f>
        <v>0</v>
      </c>
      <c r="S87" s="30" t="n">
        <f aca="false">ROUND(R86*$E$21/12,2)</f>
        <v>0</v>
      </c>
      <c r="T87" s="30" t="n">
        <f aca="false">MIN($D$21,R86+S87)</f>
        <v>0</v>
      </c>
      <c r="U87" s="30" t="n">
        <f aca="false">MAX(0,MIN($C$14-(H87+L87+P87+T87+X87+AB87)-(I87+M87+Q87),R86+S87-T87))</f>
        <v>0</v>
      </c>
      <c r="V87" s="30" t="n">
        <f aca="false">ROUND(V86+W87-X87-Y87,2)</f>
        <v>0</v>
      </c>
      <c r="W87" s="30" t="n">
        <f aca="false">ROUND(V86*$E$22/12,2)</f>
        <v>0</v>
      </c>
      <c r="X87" s="30" t="n">
        <f aca="false">MIN($D$22,V86+W87)</f>
        <v>0</v>
      </c>
      <c r="Y87" s="30" t="n">
        <f aca="false">MAX(0,MIN($C$14-(H87+L87+P87+T87+X87+AB87)-(I87+M87+Q87+U87),V86+W87-X87))</f>
        <v>0</v>
      </c>
      <c r="Z87" s="30" t="n">
        <f aca="false">ROUND(Z86+AA87-AB87-AC87,2)</f>
        <v>0</v>
      </c>
      <c r="AA87" s="30" t="n">
        <f aca="false">ROUND(Z86*$E$23/12,2)</f>
        <v>0</v>
      </c>
      <c r="AB87" s="30" t="n">
        <f aca="false">MIN($D$23,Z86+AA87)</f>
        <v>0</v>
      </c>
      <c r="AC87" s="30" t="n">
        <f aca="false">MAX(0,MIN($C$14-(H87+L87+P87+T87+X87+AB87)-(I87+M87+Q87+U87+Y87),Z86+AA87-AB87))</f>
        <v>0</v>
      </c>
    </row>
    <row r="88" customFormat="false" ht="15" hidden="false" customHeight="false" outlineLevel="0" collapsed="false">
      <c r="A88" s="29" t="n">
        <v>48</v>
      </c>
      <c r="B88" s="30" t="n">
        <f aca="false">F88+J88+N88+R88+V88+Z88</f>
        <v>0</v>
      </c>
      <c r="C88" s="30" t="n">
        <f aca="false">$C$14-E88</f>
        <v>8050</v>
      </c>
      <c r="D88" s="30" t="n">
        <f aca="false">G88+K88+O88+S88+W88+AA88</f>
        <v>0</v>
      </c>
      <c r="E88" s="30" t="n">
        <f aca="false">H88+I88+L88+M88+P88+Q88+T88+U88+X88+Y88+AB88+AC88</f>
        <v>0</v>
      </c>
      <c r="F88" s="30" t="n">
        <f aca="false">ROUND(F87+G88-H88-I88,2)</f>
        <v>0</v>
      </c>
      <c r="G88" s="30" t="n">
        <f aca="false">ROUND(F87*$E$18/12,2)</f>
        <v>0</v>
      </c>
      <c r="H88" s="30" t="n">
        <f aca="false">MIN($D$18,F87+G88)</f>
        <v>0</v>
      </c>
      <c r="I88" s="30" t="n">
        <f aca="false">MAX(0,MIN($C$14-(H88+L88+P88+T88+X88+AB88)-0,F87+G88-H88))</f>
        <v>0</v>
      </c>
      <c r="J88" s="30" t="n">
        <f aca="false">ROUND(J87+K88-L88-M88,2)</f>
        <v>0</v>
      </c>
      <c r="K88" s="30" t="n">
        <f aca="false">ROUND(J87*$E$19/12,2)</f>
        <v>0</v>
      </c>
      <c r="L88" s="30" t="n">
        <f aca="false">MIN($D$19,J87+K88)</f>
        <v>0</v>
      </c>
      <c r="M88" s="30" t="n">
        <f aca="false">MAX(0,MIN($C$14-(H88+L88+P88+T88+X88+AB88)-(I88),J87+K88-L88))</f>
        <v>0</v>
      </c>
      <c r="N88" s="30" t="n">
        <f aca="false">ROUND(N87+O88-P88-Q88,2)</f>
        <v>0</v>
      </c>
      <c r="O88" s="30" t="n">
        <f aca="false">ROUND(N87*$E$20/12,2)</f>
        <v>0</v>
      </c>
      <c r="P88" s="30" t="n">
        <f aca="false">MIN($D$20,N87+O88)</f>
        <v>0</v>
      </c>
      <c r="Q88" s="30" t="n">
        <f aca="false">MAX(0,MIN($C$14-(H88+L88+P88+T88+X88+AB88)-(I88+M88),N87+O88-P88))</f>
        <v>0</v>
      </c>
      <c r="R88" s="30" t="n">
        <f aca="false">ROUND(R87+S88-T88-U88,2)</f>
        <v>0</v>
      </c>
      <c r="S88" s="30" t="n">
        <f aca="false">ROUND(R87*$E$21/12,2)</f>
        <v>0</v>
      </c>
      <c r="T88" s="30" t="n">
        <f aca="false">MIN($D$21,R87+S88)</f>
        <v>0</v>
      </c>
      <c r="U88" s="30" t="n">
        <f aca="false">MAX(0,MIN($C$14-(H88+L88+P88+T88+X88+AB88)-(I88+M88+Q88),R87+S88-T88))</f>
        <v>0</v>
      </c>
      <c r="V88" s="30" t="n">
        <f aca="false">ROUND(V87+W88-X88-Y88,2)</f>
        <v>0</v>
      </c>
      <c r="W88" s="30" t="n">
        <f aca="false">ROUND(V87*$E$22/12,2)</f>
        <v>0</v>
      </c>
      <c r="X88" s="30" t="n">
        <f aca="false">MIN($D$22,V87+W88)</f>
        <v>0</v>
      </c>
      <c r="Y88" s="30" t="n">
        <f aca="false">MAX(0,MIN($C$14-(H88+L88+P88+T88+X88+AB88)-(I88+M88+Q88+U88),V87+W88-X88))</f>
        <v>0</v>
      </c>
      <c r="Z88" s="30" t="n">
        <f aca="false">ROUND(Z87+AA88-AB88-AC88,2)</f>
        <v>0</v>
      </c>
      <c r="AA88" s="30" t="n">
        <f aca="false">ROUND(Z87*$E$23/12,2)</f>
        <v>0</v>
      </c>
      <c r="AB88" s="30" t="n">
        <f aca="false">MIN($D$23,Z87+AA88)</f>
        <v>0</v>
      </c>
      <c r="AC88" s="30" t="n">
        <f aca="false">MAX(0,MIN($C$14-(H88+L88+P88+T88+X88+AB88)-(I88+M88+Q88+U88+Y88),Z87+AA88-AB88))</f>
        <v>0</v>
      </c>
    </row>
    <row r="89" customFormat="false" ht="15" hidden="false" customHeight="false" outlineLevel="0" collapsed="false">
      <c r="A89" s="29" t="n">
        <v>49</v>
      </c>
      <c r="B89" s="30" t="n">
        <f aca="false">F89+J89+N89+R89+V89+Z89</f>
        <v>0</v>
      </c>
      <c r="C89" s="30" t="n">
        <f aca="false">$C$14-E89</f>
        <v>8050</v>
      </c>
      <c r="D89" s="30" t="n">
        <f aca="false">G89+K89+O89+S89+W89+AA89</f>
        <v>0</v>
      </c>
      <c r="E89" s="30" t="n">
        <f aca="false">H89+I89+L89+M89+P89+Q89+T89+U89+X89+Y89+AB89+AC89</f>
        <v>0</v>
      </c>
      <c r="F89" s="30" t="n">
        <f aca="false">ROUND(F88+G89-H89-I89,2)</f>
        <v>0</v>
      </c>
      <c r="G89" s="30" t="n">
        <f aca="false">ROUND(F88*$E$18/12,2)</f>
        <v>0</v>
      </c>
      <c r="H89" s="30" t="n">
        <f aca="false">MIN($D$18,F88+G89)</f>
        <v>0</v>
      </c>
      <c r="I89" s="30" t="n">
        <f aca="false">MAX(0,MIN($C$14-(H89+L89+P89+T89+X89+AB89)-0,F88+G89-H89))</f>
        <v>0</v>
      </c>
      <c r="J89" s="30" t="n">
        <f aca="false">ROUND(J88+K89-L89-M89,2)</f>
        <v>0</v>
      </c>
      <c r="K89" s="30" t="n">
        <f aca="false">ROUND(J88*$E$19/12,2)</f>
        <v>0</v>
      </c>
      <c r="L89" s="30" t="n">
        <f aca="false">MIN($D$19,J88+K89)</f>
        <v>0</v>
      </c>
      <c r="M89" s="30" t="n">
        <f aca="false">MAX(0,MIN($C$14-(H89+L89+P89+T89+X89+AB89)-(I89),J88+K89-L89))</f>
        <v>0</v>
      </c>
      <c r="N89" s="30" t="n">
        <f aca="false">ROUND(N88+O89-P89-Q89,2)</f>
        <v>0</v>
      </c>
      <c r="O89" s="30" t="n">
        <f aca="false">ROUND(N88*$E$20/12,2)</f>
        <v>0</v>
      </c>
      <c r="P89" s="30" t="n">
        <f aca="false">MIN($D$20,N88+O89)</f>
        <v>0</v>
      </c>
      <c r="Q89" s="30" t="n">
        <f aca="false">MAX(0,MIN($C$14-(H89+L89+P89+T89+X89+AB89)-(I89+M89),N88+O89-P89))</f>
        <v>0</v>
      </c>
      <c r="R89" s="30" t="n">
        <f aca="false">ROUND(R88+S89-T89-U89,2)</f>
        <v>0</v>
      </c>
      <c r="S89" s="30" t="n">
        <f aca="false">ROUND(R88*$E$21/12,2)</f>
        <v>0</v>
      </c>
      <c r="T89" s="30" t="n">
        <f aca="false">MIN($D$21,R88+S89)</f>
        <v>0</v>
      </c>
      <c r="U89" s="30" t="n">
        <f aca="false">MAX(0,MIN($C$14-(H89+L89+P89+T89+X89+AB89)-(I89+M89+Q89),R88+S89-T89))</f>
        <v>0</v>
      </c>
      <c r="V89" s="30" t="n">
        <f aca="false">ROUND(V88+W89-X89-Y89,2)</f>
        <v>0</v>
      </c>
      <c r="W89" s="30" t="n">
        <f aca="false">ROUND(V88*$E$22/12,2)</f>
        <v>0</v>
      </c>
      <c r="X89" s="30" t="n">
        <f aca="false">MIN($D$22,V88+W89)</f>
        <v>0</v>
      </c>
      <c r="Y89" s="30" t="n">
        <f aca="false">MAX(0,MIN($C$14-(H89+L89+P89+T89+X89+AB89)-(I89+M89+Q89+U89),V88+W89-X89))</f>
        <v>0</v>
      </c>
      <c r="Z89" s="30" t="n">
        <f aca="false">ROUND(Z88+AA89-AB89-AC89,2)</f>
        <v>0</v>
      </c>
      <c r="AA89" s="30" t="n">
        <f aca="false">ROUND(Z88*$E$23/12,2)</f>
        <v>0</v>
      </c>
      <c r="AB89" s="30" t="n">
        <f aca="false">MIN($D$23,Z88+AA89)</f>
        <v>0</v>
      </c>
      <c r="AC89" s="30" t="n">
        <f aca="false">MAX(0,MIN($C$14-(H89+L89+P89+T89+X89+AB89)-(I89+M89+Q89+U89+Y89),Z88+AA89-AB89))</f>
        <v>0</v>
      </c>
    </row>
    <row r="90" customFormat="false" ht="15" hidden="false" customHeight="false" outlineLevel="0" collapsed="false">
      <c r="A90" s="29" t="n">
        <v>50</v>
      </c>
      <c r="B90" s="30" t="n">
        <f aca="false">F90+J90+N90+R90+V90+Z90</f>
        <v>0</v>
      </c>
      <c r="C90" s="30" t="n">
        <f aca="false">$C$14-E90</f>
        <v>8050</v>
      </c>
      <c r="D90" s="30" t="n">
        <f aca="false">G90+K90+O90+S90+W90+AA90</f>
        <v>0</v>
      </c>
      <c r="E90" s="30" t="n">
        <f aca="false">H90+I90+L90+M90+P90+Q90+T90+U90+X90+Y90+AB90+AC90</f>
        <v>0</v>
      </c>
      <c r="F90" s="30" t="n">
        <f aca="false">ROUND(F89+G90-H90-I90,2)</f>
        <v>0</v>
      </c>
      <c r="G90" s="30" t="n">
        <f aca="false">ROUND(F89*$E$18/12,2)</f>
        <v>0</v>
      </c>
      <c r="H90" s="30" t="n">
        <f aca="false">MIN($D$18,F89+G90)</f>
        <v>0</v>
      </c>
      <c r="I90" s="30" t="n">
        <f aca="false">MAX(0,MIN($C$14-(H90+L90+P90+T90+X90+AB90)-0,F89+G90-H90))</f>
        <v>0</v>
      </c>
      <c r="J90" s="30" t="n">
        <f aca="false">ROUND(J89+K90-L90-M90,2)</f>
        <v>0</v>
      </c>
      <c r="K90" s="30" t="n">
        <f aca="false">ROUND(J89*$E$19/12,2)</f>
        <v>0</v>
      </c>
      <c r="L90" s="30" t="n">
        <f aca="false">MIN($D$19,J89+K90)</f>
        <v>0</v>
      </c>
      <c r="M90" s="30" t="n">
        <f aca="false">MAX(0,MIN($C$14-(H90+L90+P90+T90+X90+AB90)-(I90),J89+K90-L90))</f>
        <v>0</v>
      </c>
      <c r="N90" s="30" t="n">
        <f aca="false">ROUND(N89+O90-P90-Q90,2)</f>
        <v>0</v>
      </c>
      <c r="O90" s="30" t="n">
        <f aca="false">ROUND(N89*$E$20/12,2)</f>
        <v>0</v>
      </c>
      <c r="P90" s="30" t="n">
        <f aca="false">MIN($D$20,N89+O90)</f>
        <v>0</v>
      </c>
      <c r="Q90" s="30" t="n">
        <f aca="false">MAX(0,MIN($C$14-(H90+L90+P90+T90+X90+AB90)-(I90+M90),N89+O90-P90))</f>
        <v>0</v>
      </c>
      <c r="R90" s="30" t="n">
        <f aca="false">ROUND(R89+S90-T90-U90,2)</f>
        <v>0</v>
      </c>
      <c r="S90" s="30" t="n">
        <f aca="false">ROUND(R89*$E$21/12,2)</f>
        <v>0</v>
      </c>
      <c r="T90" s="30" t="n">
        <f aca="false">MIN($D$21,R89+S90)</f>
        <v>0</v>
      </c>
      <c r="U90" s="30" t="n">
        <f aca="false">MAX(0,MIN($C$14-(H90+L90+P90+T90+X90+AB90)-(I90+M90+Q90),R89+S90-T90))</f>
        <v>0</v>
      </c>
      <c r="V90" s="30" t="n">
        <f aca="false">ROUND(V89+W90-X90-Y90,2)</f>
        <v>0</v>
      </c>
      <c r="W90" s="30" t="n">
        <f aca="false">ROUND(V89*$E$22/12,2)</f>
        <v>0</v>
      </c>
      <c r="X90" s="30" t="n">
        <f aca="false">MIN($D$22,V89+W90)</f>
        <v>0</v>
      </c>
      <c r="Y90" s="30" t="n">
        <f aca="false">MAX(0,MIN($C$14-(H90+L90+P90+T90+X90+AB90)-(I90+M90+Q90+U90),V89+W90-X90))</f>
        <v>0</v>
      </c>
      <c r="Z90" s="30" t="n">
        <f aca="false">ROUND(Z89+AA90-AB90-AC90,2)</f>
        <v>0</v>
      </c>
      <c r="AA90" s="30" t="n">
        <f aca="false">ROUND(Z89*$E$23/12,2)</f>
        <v>0</v>
      </c>
      <c r="AB90" s="30" t="n">
        <f aca="false">MIN($D$23,Z89+AA90)</f>
        <v>0</v>
      </c>
      <c r="AC90" s="30" t="n">
        <f aca="false">MAX(0,MIN($C$14-(H90+L90+P90+T90+X90+AB90)-(I90+M90+Q90+U90+Y90),Z89+AA90-AB90))</f>
        <v>0</v>
      </c>
    </row>
    <row r="91" customFormat="false" ht="15" hidden="false" customHeight="false" outlineLevel="0" collapsed="false">
      <c r="A91" s="29" t="n">
        <v>51</v>
      </c>
      <c r="B91" s="30" t="n">
        <f aca="false">F91+J91+N91+R91+V91+Z91</f>
        <v>0</v>
      </c>
      <c r="C91" s="30" t="n">
        <f aca="false">$C$14-E91</f>
        <v>8050</v>
      </c>
      <c r="D91" s="30" t="n">
        <f aca="false">G91+K91+O91+S91+W91+AA91</f>
        <v>0</v>
      </c>
      <c r="E91" s="30" t="n">
        <f aca="false">H91+I91+L91+M91+P91+Q91+T91+U91+X91+Y91+AB91+AC91</f>
        <v>0</v>
      </c>
      <c r="F91" s="30" t="n">
        <f aca="false">ROUND(F90+G91-H91-I91,2)</f>
        <v>0</v>
      </c>
      <c r="G91" s="30" t="n">
        <f aca="false">ROUND(F90*$E$18/12,2)</f>
        <v>0</v>
      </c>
      <c r="H91" s="30" t="n">
        <f aca="false">MIN($D$18,F90+G91)</f>
        <v>0</v>
      </c>
      <c r="I91" s="30" t="n">
        <f aca="false">MAX(0,MIN($C$14-(H91+L91+P91+T91+X91+AB91)-0,F90+G91-H91))</f>
        <v>0</v>
      </c>
      <c r="J91" s="30" t="n">
        <f aca="false">ROUND(J90+K91-L91-M91,2)</f>
        <v>0</v>
      </c>
      <c r="K91" s="30" t="n">
        <f aca="false">ROUND(J90*$E$19/12,2)</f>
        <v>0</v>
      </c>
      <c r="L91" s="30" t="n">
        <f aca="false">MIN($D$19,J90+K91)</f>
        <v>0</v>
      </c>
      <c r="M91" s="30" t="n">
        <f aca="false">MAX(0,MIN($C$14-(H91+L91+P91+T91+X91+AB91)-(I91),J90+K91-L91))</f>
        <v>0</v>
      </c>
      <c r="N91" s="30" t="n">
        <f aca="false">ROUND(N90+O91-P91-Q91,2)</f>
        <v>0</v>
      </c>
      <c r="O91" s="30" t="n">
        <f aca="false">ROUND(N90*$E$20/12,2)</f>
        <v>0</v>
      </c>
      <c r="P91" s="30" t="n">
        <f aca="false">MIN($D$20,N90+O91)</f>
        <v>0</v>
      </c>
      <c r="Q91" s="30" t="n">
        <f aca="false">MAX(0,MIN($C$14-(H91+L91+P91+T91+X91+AB91)-(I91+M91),N90+O91-P91))</f>
        <v>0</v>
      </c>
      <c r="R91" s="30" t="n">
        <f aca="false">ROUND(R90+S91-T91-U91,2)</f>
        <v>0</v>
      </c>
      <c r="S91" s="30" t="n">
        <f aca="false">ROUND(R90*$E$21/12,2)</f>
        <v>0</v>
      </c>
      <c r="T91" s="30" t="n">
        <f aca="false">MIN($D$21,R90+S91)</f>
        <v>0</v>
      </c>
      <c r="U91" s="30" t="n">
        <f aca="false">MAX(0,MIN($C$14-(H91+L91+P91+T91+X91+AB91)-(I91+M91+Q91),R90+S91-T91))</f>
        <v>0</v>
      </c>
      <c r="V91" s="30" t="n">
        <f aca="false">ROUND(V90+W91-X91-Y91,2)</f>
        <v>0</v>
      </c>
      <c r="W91" s="30" t="n">
        <f aca="false">ROUND(V90*$E$22/12,2)</f>
        <v>0</v>
      </c>
      <c r="X91" s="30" t="n">
        <f aca="false">MIN($D$22,V90+W91)</f>
        <v>0</v>
      </c>
      <c r="Y91" s="30" t="n">
        <f aca="false">MAX(0,MIN($C$14-(H91+L91+P91+T91+X91+AB91)-(I91+M91+Q91+U91),V90+W91-X91))</f>
        <v>0</v>
      </c>
      <c r="Z91" s="30" t="n">
        <f aca="false">ROUND(Z90+AA91-AB91-AC91,2)</f>
        <v>0</v>
      </c>
      <c r="AA91" s="30" t="n">
        <f aca="false">ROUND(Z90*$E$23/12,2)</f>
        <v>0</v>
      </c>
      <c r="AB91" s="30" t="n">
        <f aca="false">MIN($D$23,Z90+AA91)</f>
        <v>0</v>
      </c>
      <c r="AC91" s="30" t="n">
        <f aca="false">MAX(0,MIN($C$14-(H91+L91+P91+T91+X91+AB91)-(I91+M91+Q91+U91+Y91),Z90+AA91-AB91))</f>
        <v>0</v>
      </c>
    </row>
    <row r="92" customFormat="false" ht="15" hidden="false" customHeight="false" outlineLevel="0" collapsed="false">
      <c r="A92" s="29" t="n">
        <v>52</v>
      </c>
      <c r="B92" s="30" t="n">
        <f aca="false">F92+J92+N92+R92+V92+Z92</f>
        <v>0</v>
      </c>
      <c r="C92" s="30" t="n">
        <f aca="false">$C$14-E92</f>
        <v>8050</v>
      </c>
      <c r="D92" s="30" t="n">
        <f aca="false">G92+K92+O92+S92+W92+AA92</f>
        <v>0</v>
      </c>
      <c r="E92" s="30" t="n">
        <f aca="false">H92+I92+L92+M92+P92+Q92+T92+U92+X92+Y92+AB92+AC92</f>
        <v>0</v>
      </c>
      <c r="F92" s="30" t="n">
        <f aca="false">ROUND(F91+G92-H92-I92,2)</f>
        <v>0</v>
      </c>
      <c r="G92" s="30" t="n">
        <f aca="false">ROUND(F91*$E$18/12,2)</f>
        <v>0</v>
      </c>
      <c r="H92" s="30" t="n">
        <f aca="false">MIN($D$18,F91+G92)</f>
        <v>0</v>
      </c>
      <c r="I92" s="30" t="n">
        <f aca="false">MAX(0,MIN($C$14-(H92+L92+P92+T92+X92+AB92)-0,F91+G92-H92))</f>
        <v>0</v>
      </c>
      <c r="J92" s="30" t="n">
        <f aca="false">ROUND(J91+K92-L92-M92,2)</f>
        <v>0</v>
      </c>
      <c r="K92" s="30" t="n">
        <f aca="false">ROUND(J91*$E$19/12,2)</f>
        <v>0</v>
      </c>
      <c r="L92" s="30" t="n">
        <f aca="false">MIN($D$19,J91+K92)</f>
        <v>0</v>
      </c>
      <c r="M92" s="30" t="n">
        <f aca="false">MAX(0,MIN($C$14-(H92+L92+P92+T92+X92+AB92)-(I92),J91+K92-L92))</f>
        <v>0</v>
      </c>
      <c r="N92" s="30" t="n">
        <f aca="false">ROUND(N91+O92-P92-Q92,2)</f>
        <v>0</v>
      </c>
      <c r="O92" s="30" t="n">
        <f aca="false">ROUND(N91*$E$20/12,2)</f>
        <v>0</v>
      </c>
      <c r="P92" s="30" t="n">
        <f aca="false">MIN($D$20,N91+O92)</f>
        <v>0</v>
      </c>
      <c r="Q92" s="30" t="n">
        <f aca="false">MAX(0,MIN($C$14-(H92+L92+P92+T92+X92+AB92)-(I92+M92),N91+O92-P92))</f>
        <v>0</v>
      </c>
      <c r="R92" s="30" t="n">
        <f aca="false">ROUND(R91+S92-T92-U92,2)</f>
        <v>0</v>
      </c>
      <c r="S92" s="30" t="n">
        <f aca="false">ROUND(R91*$E$21/12,2)</f>
        <v>0</v>
      </c>
      <c r="T92" s="30" t="n">
        <f aca="false">MIN($D$21,R91+S92)</f>
        <v>0</v>
      </c>
      <c r="U92" s="30" t="n">
        <f aca="false">MAX(0,MIN($C$14-(H92+L92+P92+T92+X92+AB92)-(I92+M92+Q92),R91+S92-T92))</f>
        <v>0</v>
      </c>
      <c r="V92" s="30" t="n">
        <f aca="false">ROUND(V91+W92-X92-Y92,2)</f>
        <v>0</v>
      </c>
      <c r="W92" s="30" t="n">
        <f aca="false">ROUND(V91*$E$22/12,2)</f>
        <v>0</v>
      </c>
      <c r="X92" s="30" t="n">
        <f aca="false">MIN($D$22,V91+W92)</f>
        <v>0</v>
      </c>
      <c r="Y92" s="30" t="n">
        <f aca="false">MAX(0,MIN($C$14-(H92+L92+P92+T92+X92+AB92)-(I92+M92+Q92+U92),V91+W92-X92))</f>
        <v>0</v>
      </c>
      <c r="Z92" s="30" t="n">
        <f aca="false">ROUND(Z91+AA92-AB92-AC92,2)</f>
        <v>0</v>
      </c>
      <c r="AA92" s="30" t="n">
        <f aca="false">ROUND(Z91*$E$23/12,2)</f>
        <v>0</v>
      </c>
      <c r="AB92" s="30" t="n">
        <f aca="false">MIN($D$23,Z91+AA92)</f>
        <v>0</v>
      </c>
      <c r="AC92" s="30" t="n">
        <f aca="false">MAX(0,MIN($C$14-(H92+L92+P92+T92+X92+AB92)-(I92+M92+Q92+U92+Y92),Z91+AA92-AB92))</f>
        <v>0</v>
      </c>
    </row>
    <row r="93" customFormat="false" ht="15" hidden="false" customHeight="false" outlineLevel="0" collapsed="false">
      <c r="A93" s="29" t="n">
        <v>53</v>
      </c>
      <c r="B93" s="30" t="n">
        <f aca="false">F93+J93+N93+R93+V93+Z93</f>
        <v>0</v>
      </c>
      <c r="C93" s="30" t="n">
        <f aca="false">$C$14-E93</f>
        <v>8050</v>
      </c>
      <c r="D93" s="30" t="n">
        <f aca="false">G93+K93+O93+S93+W93+AA93</f>
        <v>0</v>
      </c>
      <c r="E93" s="30" t="n">
        <f aca="false">H93+I93+L93+M93+P93+Q93+T93+U93+X93+Y93+AB93+AC93</f>
        <v>0</v>
      </c>
      <c r="F93" s="30" t="n">
        <f aca="false">ROUND(F92+G93-H93-I93,2)</f>
        <v>0</v>
      </c>
      <c r="G93" s="30" t="n">
        <f aca="false">ROUND(F92*$E$18/12,2)</f>
        <v>0</v>
      </c>
      <c r="H93" s="30" t="n">
        <f aca="false">MIN($D$18,F92+G93)</f>
        <v>0</v>
      </c>
      <c r="I93" s="30" t="n">
        <f aca="false">MAX(0,MIN($C$14-(H93+L93+P93+T93+X93+AB93)-0,F92+G93-H93))</f>
        <v>0</v>
      </c>
      <c r="J93" s="30" t="n">
        <f aca="false">ROUND(J92+K93-L93-M93,2)</f>
        <v>0</v>
      </c>
      <c r="K93" s="30" t="n">
        <f aca="false">ROUND(J92*$E$19/12,2)</f>
        <v>0</v>
      </c>
      <c r="L93" s="30" t="n">
        <f aca="false">MIN($D$19,J92+K93)</f>
        <v>0</v>
      </c>
      <c r="M93" s="30" t="n">
        <f aca="false">MAX(0,MIN($C$14-(H93+L93+P93+T93+X93+AB93)-(I93),J92+K93-L93))</f>
        <v>0</v>
      </c>
      <c r="N93" s="30" t="n">
        <f aca="false">ROUND(N92+O93-P93-Q93,2)</f>
        <v>0</v>
      </c>
      <c r="O93" s="30" t="n">
        <f aca="false">ROUND(N92*$E$20/12,2)</f>
        <v>0</v>
      </c>
      <c r="P93" s="30" t="n">
        <f aca="false">MIN($D$20,N92+O93)</f>
        <v>0</v>
      </c>
      <c r="Q93" s="30" t="n">
        <f aca="false">MAX(0,MIN($C$14-(H93+L93+P93+T93+X93+AB93)-(I93+M93),N92+O93-P93))</f>
        <v>0</v>
      </c>
      <c r="R93" s="30" t="n">
        <f aca="false">ROUND(R92+S93-T93-U93,2)</f>
        <v>0</v>
      </c>
      <c r="S93" s="30" t="n">
        <f aca="false">ROUND(R92*$E$21/12,2)</f>
        <v>0</v>
      </c>
      <c r="T93" s="30" t="n">
        <f aca="false">MIN($D$21,R92+S93)</f>
        <v>0</v>
      </c>
      <c r="U93" s="30" t="n">
        <f aca="false">MAX(0,MIN($C$14-(H93+L93+P93+T93+X93+AB93)-(I93+M93+Q93),R92+S93-T93))</f>
        <v>0</v>
      </c>
      <c r="V93" s="30" t="n">
        <f aca="false">ROUND(V92+W93-X93-Y93,2)</f>
        <v>0</v>
      </c>
      <c r="W93" s="30" t="n">
        <f aca="false">ROUND(V92*$E$22/12,2)</f>
        <v>0</v>
      </c>
      <c r="X93" s="30" t="n">
        <f aca="false">MIN($D$22,V92+W93)</f>
        <v>0</v>
      </c>
      <c r="Y93" s="30" t="n">
        <f aca="false">MAX(0,MIN($C$14-(H93+L93+P93+T93+X93+AB93)-(I93+M93+Q93+U93),V92+W93-X93))</f>
        <v>0</v>
      </c>
      <c r="Z93" s="30" t="n">
        <f aca="false">ROUND(Z92+AA93-AB93-AC93,2)</f>
        <v>0</v>
      </c>
      <c r="AA93" s="30" t="n">
        <f aca="false">ROUND(Z92*$E$23/12,2)</f>
        <v>0</v>
      </c>
      <c r="AB93" s="30" t="n">
        <f aca="false">MIN($D$23,Z92+AA93)</f>
        <v>0</v>
      </c>
      <c r="AC93" s="30" t="n">
        <f aca="false">MAX(0,MIN($C$14-(H93+L93+P93+T93+X93+AB93)-(I93+M93+Q93+U93+Y93),Z92+AA93-AB93))</f>
        <v>0</v>
      </c>
    </row>
    <row r="94" customFormat="false" ht="15" hidden="false" customHeight="false" outlineLevel="0" collapsed="false">
      <c r="A94" s="29" t="n">
        <v>54</v>
      </c>
      <c r="B94" s="30" t="n">
        <f aca="false">F94+J94+N94+R94+V94+Z94</f>
        <v>0</v>
      </c>
      <c r="C94" s="30" t="n">
        <f aca="false">$C$14-E94</f>
        <v>8050</v>
      </c>
      <c r="D94" s="30" t="n">
        <f aca="false">G94+K94+O94+S94+W94+AA94</f>
        <v>0</v>
      </c>
      <c r="E94" s="30" t="n">
        <f aca="false">H94+I94+L94+M94+P94+Q94+T94+U94+X94+Y94+AB94+AC94</f>
        <v>0</v>
      </c>
      <c r="F94" s="30" t="n">
        <f aca="false">ROUND(F93+G94-H94-I94,2)</f>
        <v>0</v>
      </c>
      <c r="G94" s="30" t="n">
        <f aca="false">ROUND(F93*$E$18/12,2)</f>
        <v>0</v>
      </c>
      <c r="H94" s="30" t="n">
        <f aca="false">MIN($D$18,F93+G94)</f>
        <v>0</v>
      </c>
      <c r="I94" s="30" t="n">
        <f aca="false">MAX(0,MIN($C$14-(H94+L94+P94+T94+X94+AB94)-0,F93+G94-H94))</f>
        <v>0</v>
      </c>
      <c r="J94" s="30" t="n">
        <f aca="false">ROUND(J93+K94-L94-M94,2)</f>
        <v>0</v>
      </c>
      <c r="K94" s="30" t="n">
        <f aca="false">ROUND(J93*$E$19/12,2)</f>
        <v>0</v>
      </c>
      <c r="L94" s="30" t="n">
        <f aca="false">MIN($D$19,J93+K94)</f>
        <v>0</v>
      </c>
      <c r="M94" s="30" t="n">
        <f aca="false">MAX(0,MIN($C$14-(H94+L94+P94+T94+X94+AB94)-(I94),J93+K94-L94))</f>
        <v>0</v>
      </c>
      <c r="N94" s="30" t="n">
        <f aca="false">ROUND(N93+O94-P94-Q94,2)</f>
        <v>0</v>
      </c>
      <c r="O94" s="30" t="n">
        <f aca="false">ROUND(N93*$E$20/12,2)</f>
        <v>0</v>
      </c>
      <c r="P94" s="30" t="n">
        <f aca="false">MIN($D$20,N93+O94)</f>
        <v>0</v>
      </c>
      <c r="Q94" s="30" t="n">
        <f aca="false">MAX(0,MIN($C$14-(H94+L94+P94+T94+X94+AB94)-(I94+M94),N93+O94-P94))</f>
        <v>0</v>
      </c>
      <c r="R94" s="30" t="n">
        <f aca="false">ROUND(R93+S94-T94-U94,2)</f>
        <v>0</v>
      </c>
      <c r="S94" s="30" t="n">
        <f aca="false">ROUND(R93*$E$21/12,2)</f>
        <v>0</v>
      </c>
      <c r="T94" s="30" t="n">
        <f aca="false">MIN($D$21,R93+S94)</f>
        <v>0</v>
      </c>
      <c r="U94" s="30" t="n">
        <f aca="false">MAX(0,MIN($C$14-(H94+L94+P94+T94+X94+AB94)-(I94+M94+Q94),R93+S94-T94))</f>
        <v>0</v>
      </c>
      <c r="V94" s="30" t="n">
        <f aca="false">ROUND(V93+W94-X94-Y94,2)</f>
        <v>0</v>
      </c>
      <c r="W94" s="30" t="n">
        <f aca="false">ROUND(V93*$E$22/12,2)</f>
        <v>0</v>
      </c>
      <c r="X94" s="30" t="n">
        <f aca="false">MIN($D$22,V93+W94)</f>
        <v>0</v>
      </c>
      <c r="Y94" s="30" t="n">
        <f aca="false">MAX(0,MIN($C$14-(H94+L94+P94+T94+X94+AB94)-(I94+M94+Q94+U94),V93+W94-X94))</f>
        <v>0</v>
      </c>
      <c r="Z94" s="30" t="n">
        <f aca="false">ROUND(Z93+AA94-AB94-AC94,2)</f>
        <v>0</v>
      </c>
      <c r="AA94" s="30" t="n">
        <f aca="false">ROUND(Z93*$E$23/12,2)</f>
        <v>0</v>
      </c>
      <c r="AB94" s="30" t="n">
        <f aca="false">MIN($D$23,Z93+AA94)</f>
        <v>0</v>
      </c>
      <c r="AC94" s="30" t="n">
        <f aca="false">MAX(0,MIN($C$14-(H94+L94+P94+T94+X94+AB94)-(I94+M94+Q94+U94+Y94),Z93+AA94-AB94))</f>
        <v>0</v>
      </c>
    </row>
    <row r="95" customFormat="false" ht="15" hidden="false" customHeight="false" outlineLevel="0" collapsed="false">
      <c r="A95" s="29" t="n">
        <v>55</v>
      </c>
      <c r="B95" s="30" t="n">
        <f aca="false">F95+J95+N95+R95+V95+Z95</f>
        <v>0</v>
      </c>
      <c r="C95" s="30" t="n">
        <f aca="false">$C$14-E95</f>
        <v>8050</v>
      </c>
      <c r="D95" s="30" t="n">
        <f aca="false">G95+K95+O95+S95+W95+AA95</f>
        <v>0</v>
      </c>
      <c r="E95" s="30" t="n">
        <f aca="false">H95+I95+L95+M95+P95+Q95+T95+U95+X95+Y95+AB95+AC95</f>
        <v>0</v>
      </c>
      <c r="F95" s="30" t="n">
        <f aca="false">ROUND(F94+G95-H95-I95,2)</f>
        <v>0</v>
      </c>
      <c r="G95" s="30" t="n">
        <f aca="false">ROUND(F94*$E$18/12,2)</f>
        <v>0</v>
      </c>
      <c r="H95" s="30" t="n">
        <f aca="false">MIN($D$18,F94+G95)</f>
        <v>0</v>
      </c>
      <c r="I95" s="30" t="n">
        <f aca="false">MAX(0,MIN($C$14-(H95+L95+P95+T95+X95+AB95)-0,F94+G95-H95))</f>
        <v>0</v>
      </c>
      <c r="J95" s="30" t="n">
        <f aca="false">ROUND(J94+K95-L95-M95,2)</f>
        <v>0</v>
      </c>
      <c r="K95" s="30" t="n">
        <f aca="false">ROUND(J94*$E$19/12,2)</f>
        <v>0</v>
      </c>
      <c r="L95" s="30" t="n">
        <f aca="false">MIN($D$19,J94+K95)</f>
        <v>0</v>
      </c>
      <c r="M95" s="30" t="n">
        <f aca="false">MAX(0,MIN($C$14-(H95+L95+P95+T95+X95+AB95)-(I95),J94+K95-L95))</f>
        <v>0</v>
      </c>
      <c r="N95" s="30" t="n">
        <f aca="false">ROUND(N94+O95-P95-Q95,2)</f>
        <v>0</v>
      </c>
      <c r="O95" s="30" t="n">
        <f aca="false">ROUND(N94*$E$20/12,2)</f>
        <v>0</v>
      </c>
      <c r="P95" s="30" t="n">
        <f aca="false">MIN($D$20,N94+O95)</f>
        <v>0</v>
      </c>
      <c r="Q95" s="30" t="n">
        <f aca="false">MAX(0,MIN($C$14-(H95+L95+P95+T95+X95+AB95)-(I95+M95),N94+O95-P95))</f>
        <v>0</v>
      </c>
      <c r="R95" s="30" t="n">
        <f aca="false">ROUND(R94+S95-T95-U95,2)</f>
        <v>0</v>
      </c>
      <c r="S95" s="30" t="n">
        <f aca="false">ROUND(R94*$E$21/12,2)</f>
        <v>0</v>
      </c>
      <c r="T95" s="30" t="n">
        <f aca="false">MIN($D$21,R94+S95)</f>
        <v>0</v>
      </c>
      <c r="U95" s="30" t="n">
        <f aca="false">MAX(0,MIN($C$14-(H95+L95+P95+T95+X95+AB95)-(I95+M95+Q95),R94+S95-T95))</f>
        <v>0</v>
      </c>
      <c r="V95" s="30" t="n">
        <f aca="false">ROUND(V94+W95-X95-Y95,2)</f>
        <v>0</v>
      </c>
      <c r="W95" s="30" t="n">
        <f aca="false">ROUND(V94*$E$22/12,2)</f>
        <v>0</v>
      </c>
      <c r="X95" s="30" t="n">
        <f aca="false">MIN($D$22,V94+W95)</f>
        <v>0</v>
      </c>
      <c r="Y95" s="30" t="n">
        <f aca="false">MAX(0,MIN($C$14-(H95+L95+P95+T95+X95+AB95)-(I95+M95+Q95+U95),V94+W95-X95))</f>
        <v>0</v>
      </c>
      <c r="Z95" s="30" t="n">
        <f aca="false">ROUND(Z94+AA95-AB95-AC95,2)</f>
        <v>0</v>
      </c>
      <c r="AA95" s="30" t="n">
        <f aca="false">ROUND(Z94*$E$23/12,2)</f>
        <v>0</v>
      </c>
      <c r="AB95" s="30" t="n">
        <f aca="false">MIN($D$23,Z94+AA95)</f>
        <v>0</v>
      </c>
      <c r="AC95" s="30" t="n">
        <f aca="false">MAX(0,MIN($C$14-(H95+L95+P95+T95+X95+AB95)-(I95+M95+Q95+U95+Y95),Z94+AA95-AB95))</f>
        <v>0</v>
      </c>
    </row>
    <row r="96" customFormat="false" ht="15" hidden="false" customHeight="false" outlineLevel="0" collapsed="false">
      <c r="A96" s="29" t="n">
        <v>56</v>
      </c>
      <c r="B96" s="30" t="n">
        <f aca="false">F96+J96+N96+R96+V96+Z96</f>
        <v>0</v>
      </c>
      <c r="C96" s="30" t="n">
        <f aca="false">$C$14-E96</f>
        <v>8050</v>
      </c>
      <c r="D96" s="30" t="n">
        <f aca="false">G96+K96+O96+S96+W96+AA96</f>
        <v>0</v>
      </c>
      <c r="E96" s="30" t="n">
        <f aca="false">H96+I96+L96+M96+P96+Q96+T96+U96+X96+Y96+AB96+AC96</f>
        <v>0</v>
      </c>
      <c r="F96" s="30" t="n">
        <f aca="false">ROUND(F95+G96-H96-I96,2)</f>
        <v>0</v>
      </c>
      <c r="G96" s="30" t="n">
        <f aca="false">ROUND(F95*$E$18/12,2)</f>
        <v>0</v>
      </c>
      <c r="H96" s="30" t="n">
        <f aca="false">MIN($D$18,F95+G96)</f>
        <v>0</v>
      </c>
      <c r="I96" s="30" t="n">
        <f aca="false">MAX(0,MIN($C$14-(H96+L96+P96+T96+X96+AB96)-0,F95+G96-H96))</f>
        <v>0</v>
      </c>
      <c r="J96" s="30" t="n">
        <f aca="false">ROUND(J95+K96-L96-M96,2)</f>
        <v>0</v>
      </c>
      <c r="K96" s="30" t="n">
        <f aca="false">ROUND(J95*$E$19/12,2)</f>
        <v>0</v>
      </c>
      <c r="L96" s="30" t="n">
        <f aca="false">MIN($D$19,J95+K96)</f>
        <v>0</v>
      </c>
      <c r="M96" s="30" t="n">
        <f aca="false">MAX(0,MIN($C$14-(H96+L96+P96+T96+X96+AB96)-(I96),J95+K96-L96))</f>
        <v>0</v>
      </c>
      <c r="N96" s="30" t="n">
        <f aca="false">ROUND(N95+O96-P96-Q96,2)</f>
        <v>0</v>
      </c>
      <c r="O96" s="30" t="n">
        <f aca="false">ROUND(N95*$E$20/12,2)</f>
        <v>0</v>
      </c>
      <c r="P96" s="30" t="n">
        <f aca="false">MIN($D$20,N95+O96)</f>
        <v>0</v>
      </c>
      <c r="Q96" s="30" t="n">
        <f aca="false">MAX(0,MIN($C$14-(H96+L96+P96+T96+X96+AB96)-(I96+M96),N95+O96-P96))</f>
        <v>0</v>
      </c>
      <c r="R96" s="30" t="n">
        <f aca="false">ROUND(R95+S96-T96-U96,2)</f>
        <v>0</v>
      </c>
      <c r="S96" s="30" t="n">
        <f aca="false">ROUND(R95*$E$21/12,2)</f>
        <v>0</v>
      </c>
      <c r="T96" s="30" t="n">
        <f aca="false">MIN($D$21,R95+S96)</f>
        <v>0</v>
      </c>
      <c r="U96" s="30" t="n">
        <f aca="false">MAX(0,MIN($C$14-(H96+L96+P96+T96+X96+AB96)-(I96+M96+Q96),R95+S96-T96))</f>
        <v>0</v>
      </c>
      <c r="V96" s="30" t="n">
        <f aca="false">ROUND(V95+W96-X96-Y96,2)</f>
        <v>0</v>
      </c>
      <c r="W96" s="30" t="n">
        <f aca="false">ROUND(V95*$E$22/12,2)</f>
        <v>0</v>
      </c>
      <c r="X96" s="30" t="n">
        <f aca="false">MIN($D$22,V95+W96)</f>
        <v>0</v>
      </c>
      <c r="Y96" s="30" t="n">
        <f aca="false">MAX(0,MIN($C$14-(H96+L96+P96+T96+X96+AB96)-(I96+M96+Q96+U96),V95+W96-X96))</f>
        <v>0</v>
      </c>
      <c r="Z96" s="30" t="n">
        <f aca="false">ROUND(Z95+AA96-AB96-AC96,2)</f>
        <v>0</v>
      </c>
      <c r="AA96" s="30" t="n">
        <f aca="false">ROUND(Z95*$E$23/12,2)</f>
        <v>0</v>
      </c>
      <c r="AB96" s="30" t="n">
        <f aca="false">MIN($D$23,Z95+AA96)</f>
        <v>0</v>
      </c>
      <c r="AC96" s="30" t="n">
        <f aca="false">MAX(0,MIN($C$14-(H96+L96+P96+T96+X96+AB96)-(I96+M96+Q96+U96+Y96),Z95+AA96-AB96))</f>
        <v>0</v>
      </c>
    </row>
    <row r="97" customFormat="false" ht="15" hidden="false" customHeight="false" outlineLevel="0" collapsed="false">
      <c r="A97" s="29" t="n">
        <v>57</v>
      </c>
      <c r="B97" s="30" t="n">
        <f aca="false">F97+J97+N97+R97+V97+Z97</f>
        <v>0</v>
      </c>
      <c r="C97" s="30" t="n">
        <f aca="false">$C$14-E97</f>
        <v>8050</v>
      </c>
      <c r="D97" s="30" t="n">
        <f aca="false">G97+K97+O97+S97+W97+AA97</f>
        <v>0</v>
      </c>
      <c r="E97" s="30" t="n">
        <f aca="false">H97+I97+L97+M97+P97+Q97+T97+U97+X97+Y97+AB97+AC97</f>
        <v>0</v>
      </c>
      <c r="F97" s="30" t="n">
        <f aca="false">ROUND(F96+G97-H97-I97,2)</f>
        <v>0</v>
      </c>
      <c r="G97" s="30" t="n">
        <f aca="false">ROUND(F96*$E$18/12,2)</f>
        <v>0</v>
      </c>
      <c r="H97" s="30" t="n">
        <f aca="false">MIN($D$18,F96+G97)</f>
        <v>0</v>
      </c>
      <c r="I97" s="30" t="n">
        <f aca="false">MAX(0,MIN($C$14-(H97+L97+P97+T97+X97+AB97)-0,F96+G97-H97))</f>
        <v>0</v>
      </c>
      <c r="J97" s="30" t="n">
        <f aca="false">ROUND(J96+K97-L97-M97,2)</f>
        <v>0</v>
      </c>
      <c r="K97" s="30" t="n">
        <f aca="false">ROUND(J96*$E$19/12,2)</f>
        <v>0</v>
      </c>
      <c r="L97" s="30" t="n">
        <f aca="false">MIN($D$19,J96+K97)</f>
        <v>0</v>
      </c>
      <c r="M97" s="30" t="n">
        <f aca="false">MAX(0,MIN($C$14-(H97+L97+P97+T97+X97+AB97)-(I97),J96+K97-L97))</f>
        <v>0</v>
      </c>
      <c r="N97" s="30" t="n">
        <f aca="false">ROUND(N96+O97-P97-Q97,2)</f>
        <v>0</v>
      </c>
      <c r="O97" s="30" t="n">
        <f aca="false">ROUND(N96*$E$20/12,2)</f>
        <v>0</v>
      </c>
      <c r="P97" s="30" t="n">
        <f aca="false">MIN($D$20,N96+O97)</f>
        <v>0</v>
      </c>
      <c r="Q97" s="30" t="n">
        <f aca="false">MAX(0,MIN($C$14-(H97+L97+P97+T97+X97+AB97)-(I97+M97),N96+O97-P97))</f>
        <v>0</v>
      </c>
      <c r="R97" s="30" t="n">
        <f aca="false">ROUND(R96+S97-T97-U97,2)</f>
        <v>0</v>
      </c>
      <c r="S97" s="30" t="n">
        <f aca="false">ROUND(R96*$E$21/12,2)</f>
        <v>0</v>
      </c>
      <c r="T97" s="30" t="n">
        <f aca="false">MIN($D$21,R96+S97)</f>
        <v>0</v>
      </c>
      <c r="U97" s="30" t="n">
        <f aca="false">MAX(0,MIN($C$14-(H97+L97+P97+T97+X97+AB97)-(I97+M97+Q97),R96+S97-T97))</f>
        <v>0</v>
      </c>
      <c r="V97" s="30" t="n">
        <f aca="false">ROUND(V96+W97-X97-Y97,2)</f>
        <v>0</v>
      </c>
      <c r="W97" s="30" t="n">
        <f aca="false">ROUND(V96*$E$22/12,2)</f>
        <v>0</v>
      </c>
      <c r="X97" s="30" t="n">
        <f aca="false">MIN($D$22,V96+W97)</f>
        <v>0</v>
      </c>
      <c r="Y97" s="30" t="n">
        <f aca="false">MAX(0,MIN($C$14-(H97+L97+P97+T97+X97+AB97)-(I97+M97+Q97+U97),V96+W97-X97))</f>
        <v>0</v>
      </c>
      <c r="Z97" s="30" t="n">
        <f aca="false">ROUND(Z96+AA97-AB97-AC97,2)</f>
        <v>0</v>
      </c>
      <c r="AA97" s="30" t="n">
        <f aca="false">ROUND(Z96*$E$23/12,2)</f>
        <v>0</v>
      </c>
      <c r="AB97" s="30" t="n">
        <f aca="false">MIN($D$23,Z96+AA97)</f>
        <v>0</v>
      </c>
      <c r="AC97" s="30" t="n">
        <f aca="false">MAX(0,MIN($C$14-(H97+L97+P97+T97+X97+AB97)-(I97+M97+Q97+U97+Y97),Z96+AA97-AB97))</f>
        <v>0</v>
      </c>
    </row>
    <row r="98" customFormat="false" ht="15" hidden="false" customHeight="false" outlineLevel="0" collapsed="false">
      <c r="A98" s="29" t="n">
        <v>58</v>
      </c>
      <c r="B98" s="30" t="n">
        <f aca="false">F98+J98+N98+R98+V98+Z98</f>
        <v>0</v>
      </c>
      <c r="C98" s="30" t="n">
        <f aca="false">$C$14-E98</f>
        <v>8050</v>
      </c>
      <c r="D98" s="30" t="n">
        <f aca="false">G98+K98+O98+S98+W98+AA98</f>
        <v>0</v>
      </c>
      <c r="E98" s="30" t="n">
        <f aca="false">H98+I98+L98+M98+P98+Q98+T98+U98+X98+Y98+AB98+AC98</f>
        <v>0</v>
      </c>
      <c r="F98" s="30" t="n">
        <f aca="false">ROUND(F97+G98-H98-I98,2)</f>
        <v>0</v>
      </c>
      <c r="G98" s="30" t="n">
        <f aca="false">ROUND(F97*$E$18/12,2)</f>
        <v>0</v>
      </c>
      <c r="H98" s="30" t="n">
        <f aca="false">MIN($D$18,F97+G98)</f>
        <v>0</v>
      </c>
      <c r="I98" s="30" t="n">
        <f aca="false">MAX(0,MIN($C$14-(H98+L98+P98+T98+X98+AB98)-0,F97+G98-H98))</f>
        <v>0</v>
      </c>
      <c r="J98" s="30" t="n">
        <f aca="false">ROUND(J97+K98-L98-M98,2)</f>
        <v>0</v>
      </c>
      <c r="K98" s="30" t="n">
        <f aca="false">ROUND(J97*$E$19/12,2)</f>
        <v>0</v>
      </c>
      <c r="L98" s="30" t="n">
        <f aca="false">MIN($D$19,J97+K98)</f>
        <v>0</v>
      </c>
      <c r="M98" s="30" t="n">
        <f aca="false">MAX(0,MIN($C$14-(H98+L98+P98+T98+X98+AB98)-(I98),J97+K98-L98))</f>
        <v>0</v>
      </c>
      <c r="N98" s="30" t="n">
        <f aca="false">ROUND(N97+O98-P98-Q98,2)</f>
        <v>0</v>
      </c>
      <c r="O98" s="30" t="n">
        <f aca="false">ROUND(N97*$E$20/12,2)</f>
        <v>0</v>
      </c>
      <c r="P98" s="30" t="n">
        <f aca="false">MIN($D$20,N97+O98)</f>
        <v>0</v>
      </c>
      <c r="Q98" s="30" t="n">
        <f aca="false">MAX(0,MIN($C$14-(H98+L98+P98+T98+X98+AB98)-(I98+M98),N97+O98-P98))</f>
        <v>0</v>
      </c>
      <c r="R98" s="30" t="n">
        <f aca="false">ROUND(R97+S98-T98-U98,2)</f>
        <v>0</v>
      </c>
      <c r="S98" s="30" t="n">
        <f aca="false">ROUND(R97*$E$21/12,2)</f>
        <v>0</v>
      </c>
      <c r="T98" s="30" t="n">
        <f aca="false">MIN($D$21,R97+S98)</f>
        <v>0</v>
      </c>
      <c r="U98" s="30" t="n">
        <f aca="false">MAX(0,MIN($C$14-(H98+L98+P98+T98+X98+AB98)-(I98+M98+Q98),R97+S98-T98))</f>
        <v>0</v>
      </c>
      <c r="V98" s="30" t="n">
        <f aca="false">ROUND(V97+W98-X98-Y98,2)</f>
        <v>0</v>
      </c>
      <c r="W98" s="30" t="n">
        <f aca="false">ROUND(V97*$E$22/12,2)</f>
        <v>0</v>
      </c>
      <c r="X98" s="30" t="n">
        <f aca="false">MIN($D$22,V97+W98)</f>
        <v>0</v>
      </c>
      <c r="Y98" s="30" t="n">
        <f aca="false">MAX(0,MIN($C$14-(H98+L98+P98+T98+X98+AB98)-(I98+M98+Q98+U98),V97+W98-X98))</f>
        <v>0</v>
      </c>
      <c r="Z98" s="30" t="n">
        <f aca="false">ROUND(Z97+AA98-AB98-AC98,2)</f>
        <v>0</v>
      </c>
      <c r="AA98" s="30" t="n">
        <f aca="false">ROUND(Z97*$E$23/12,2)</f>
        <v>0</v>
      </c>
      <c r="AB98" s="30" t="n">
        <f aca="false">MIN($D$23,Z97+AA98)</f>
        <v>0</v>
      </c>
      <c r="AC98" s="30" t="n">
        <f aca="false">MAX(0,MIN($C$14-(H98+L98+P98+T98+X98+AB98)-(I98+M98+Q98+U98+Y98),Z97+AA98-AB98))</f>
        <v>0</v>
      </c>
    </row>
    <row r="99" customFormat="false" ht="15" hidden="false" customHeight="false" outlineLevel="0" collapsed="false">
      <c r="A99" s="29" t="n">
        <v>59</v>
      </c>
      <c r="B99" s="30" t="n">
        <f aca="false">F99+J99+N99+R99+V99+Z99</f>
        <v>0</v>
      </c>
      <c r="C99" s="30" t="n">
        <f aca="false">$C$14-E99</f>
        <v>8050</v>
      </c>
      <c r="D99" s="30" t="n">
        <f aca="false">G99+K99+O99+S99+W99+AA99</f>
        <v>0</v>
      </c>
      <c r="E99" s="30" t="n">
        <f aca="false">H99+I99+L99+M99+P99+Q99+T99+U99+X99+Y99+AB99+AC99</f>
        <v>0</v>
      </c>
      <c r="F99" s="30" t="n">
        <f aca="false">ROUND(F98+G99-H99-I99,2)</f>
        <v>0</v>
      </c>
      <c r="G99" s="30" t="n">
        <f aca="false">ROUND(F98*$E$18/12,2)</f>
        <v>0</v>
      </c>
      <c r="H99" s="30" t="n">
        <f aca="false">MIN($D$18,F98+G99)</f>
        <v>0</v>
      </c>
      <c r="I99" s="30" t="n">
        <f aca="false">MAX(0,MIN($C$14-(H99+L99+P99+T99+X99+AB99)-0,F98+G99-H99))</f>
        <v>0</v>
      </c>
      <c r="J99" s="30" t="n">
        <f aca="false">ROUND(J98+K99-L99-M99,2)</f>
        <v>0</v>
      </c>
      <c r="K99" s="30" t="n">
        <f aca="false">ROUND(J98*$E$19/12,2)</f>
        <v>0</v>
      </c>
      <c r="L99" s="30" t="n">
        <f aca="false">MIN($D$19,J98+K99)</f>
        <v>0</v>
      </c>
      <c r="M99" s="30" t="n">
        <f aca="false">MAX(0,MIN($C$14-(H99+L99+P99+T99+X99+AB99)-(I99),J98+K99-L99))</f>
        <v>0</v>
      </c>
      <c r="N99" s="30" t="n">
        <f aca="false">ROUND(N98+O99-P99-Q99,2)</f>
        <v>0</v>
      </c>
      <c r="O99" s="30" t="n">
        <f aca="false">ROUND(N98*$E$20/12,2)</f>
        <v>0</v>
      </c>
      <c r="P99" s="30" t="n">
        <f aca="false">MIN($D$20,N98+O99)</f>
        <v>0</v>
      </c>
      <c r="Q99" s="30" t="n">
        <f aca="false">MAX(0,MIN($C$14-(H99+L99+P99+T99+X99+AB99)-(I99+M99),N98+O99-P99))</f>
        <v>0</v>
      </c>
      <c r="R99" s="30" t="n">
        <f aca="false">ROUND(R98+S99-T99-U99,2)</f>
        <v>0</v>
      </c>
      <c r="S99" s="30" t="n">
        <f aca="false">ROUND(R98*$E$21/12,2)</f>
        <v>0</v>
      </c>
      <c r="T99" s="30" t="n">
        <f aca="false">MIN($D$21,R98+S99)</f>
        <v>0</v>
      </c>
      <c r="U99" s="30" t="n">
        <f aca="false">MAX(0,MIN($C$14-(H99+L99+P99+T99+X99+AB99)-(I99+M99+Q99),R98+S99-T99))</f>
        <v>0</v>
      </c>
      <c r="V99" s="30" t="n">
        <f aca="false">ROUND(V98+W99-X99-Y99,2)</f>
        <v>0</v>
      </c>
      <c r="W99" s="30" t="n">
        <f aca="false">ROUND(V98*$E$22/12,2)</f>
        <v>0</v>
      </c>
      <c r="X99" s="30" t="n">
        <f aca="false">MIN($D$22,V98+W99)</f>
        <v>0</v>
      </c>
      <c r="Y99" s="30" t="n">
        <f aca="false">MAX(0,MIN($C$14-(H99+L99+P99+T99+X99+AB99)-(I99+M99+Q99+U99),V98+W99-X99))</f>
        <v>0</v>
      </c>
      <c r="Z99" s="30" t="n">
        <f aca="false">ROUND(Z98+AA99-AB99-AC99,2)</f>
        <v>0</v>
      </c>
      <c r="AA99" s="30" t="n">
        <f aca="false">ROUND(Z98*$E$23/12,2)</f>
        <v>0</v>
      </c>
      <c r="AB99" s="30" t="n">
        <f aca="false">MIN($D$23,Z98+AA99)</f>
        <v>0</v>
      </c>
      <c r="AC99" s="30" t="n">
        <f aca="false">MAX(0,MIN($C$14-(H99+L99+P99+T99+X99+AB99)-(I99+M99+Q99+U99+Y99),Z98+AA99-AB99))</f>
        <v>0</v>
      </c>
    </row>
    <row r="100" customFormat="false" ht="15" hidden="false" customHeight="false" outlineLevel="0" collapsed="false">
      <c r="A100" s="29" t="n">
        <v>60</v>
      </c>
      <c r="B100" s="30" t="n">
        <f aca="false">F100+J100+N100+R100+V100+Z100</f>
        <v>0</v>
      </c>
      <c r="C100" s="30" t="n">
        <f aca="false">$C$14-E100</f>
        <v>8050</v>
      </c>
      <c r="D100" s="30" t="n">
        <f aca="false">G100+K100+O100+S100+W100+AA100</f>
        <v>0</v>
      </c>
      <c r="E100" s="30" t="n">
        <f aca="false">H100+I100+L100+M100+P100+Q100+T100+U100+X100+Y100+AB100+AC100</f>
        <v>0</v>
      </c>
      <c r="F100" s="30" t="n">
        <f aca="false">ROUND(F99+G100-H100-I100,2)</f>
        <v>0</v>
      </c>
      <c r="G100" s="30" t="n">
        <f aca="false">ROUND(F99*$E$18/12,2)</f>
        <v>0</v>
      </c>
      <c r="H100" s="30" t="n">
        <f aca="false">MIN($D$18,F99+G100)</f>
        <v>0</v>
      </c>
      <c r="I100" s="30" t="n">
        <f aca="false">MAX(0,MIN($C$14-(H100+L100+P100+T100+X100+AB100)-0,F99+G100-H100))</f>
        <v>0</v>
      </c>
      <c r="J100" s="30" t="n">
        <f aca="false">ROUND(J99+K100-L100-M100,2)</f>
        <v>0</v>
      </c>
      <c r="K100" s="30" t="n">
        <f aca="false">ROUND(J99*$E$19/12,2)</f>
        <v>0</v>
      </c>
      <c r="L100" s="30" t="n">
        <f aca="false">MIN($D$19,J99+K100)</f>
        <v>0</v>
      </c>
      <c r="M100" s="30" t="n">
        <f aca="false">MAX(0,MIN($C$14-(H100+L100+P100+T100+X100+AB100)-(I100),J99+K100-L100))</f>
        <v>0</v>
      </c>
      <c r="N100" s="30" t="n">
        <f aca="false">ROUND(N99+O100-P100-Q100,2)</f>
        <v>0</v>
      </c>
      <c r="O100" s="30" t="n">
        <f aca="false">ROUND(N99*$E$20/12,2)</f>
        <v>0</v>
      </c>
      <c r="P100" s="30" t="n">
        <f aca="false">MIN($D$20,N99+O100)</f>
        <v>0</v>
      </c>
      <c r="Q100" s="30" t="n">
        <f aca="false">MAX(0,MIN($C$14-(H100+L100+P100+T100+X100+AB100)-(I100+M100),N99+O100-P100))</f>
        <v>0</v>
      </c>
      <c r="R100" s="30" t="n">
        <f aca="false">ROUND(R99+S100-T100-U100,2)</f>
        <v>0</v>
      </c>
      <c r="S100" s="30" t="n">
        <f aca="false">ROUND(R99*$E$21/12,2)</f>
        <v>0</v>
      </c>
      <c r="T100" s="30" t="n">
        <f aca="false">MIN($D$21,R99+S100)</f>
        <v>0</v>
      </c>
      <c r="U100" s="30" t="n">
        <f aca="false">MAX(0,MIN($C$14-(H100+L100+P100+T100+X100+AB100)-(I100+M100+Q100),R99+S100-T100))</f>
        <v>0</v>
      </c>
      <c r="V100" s="30" t="n">
        <f aca="false">ROUND(V99+W100-X100-Y100,2)</f>
        <v>0</v>
      </c>
      <c r="W100" s="30" t="n">
        <f aca="false">ROUND(V99*$E$22/12,2)</f>
        <v>0</v>
      </c>
      <c r="X100" s="30" t="n">
        <f aca="false">MIN($D$22,V99+W100)</f>
        <v>0</v>
      </c>
      <c r="Y100" s="30" t="n">
        <f aca="false">MAX(0,MIN($C$14-(H100+L100+P100+T100+X100+AB100)-(I100+M100+Q100+U100),V99+W100-X100))</f>
        <v>0</v>
      </c>
      <c r="Z100" s="30" t="n">
        <f aca="false">ROUND(Z99+AA100-AB100-AC100,2)</f>
        <v>0</v>
      </c>
      <c r="AA100" s="30" t="n">
        <f aca="false">ROUND(Z99*$E$23/12,2)</f>
        <v>0</v>
      </c>
      <c r="AB100" s="30" t="n">
        <f aca="false">MIN($D$23,Z99+AA100)</f>
        <v>0</v>
      </c>
      <c r="AC100" s="30" t="n">
        <f aca="false">MAX(0,MIN($C$14-(H100+L100+P100+T100+X100+AB100)-(I100+M100+Q100+U100+Y100),Z99+AA100-AB100))</f>
        <v>0</v>
      </c>
    </row>
    <row r="101" customFormat="false" ht="15" hidden="false" customHeight="false" outlineLevel="0" collapsed="false">
      <c r="A101" s="29" t="n">
        <v>61</v>
      </c>
      <c r="B101" s="30" t="n">
        <f aca="false">F101+J101+N101+R101+V101+Z101</f>
        <v>0</v>
      </c>
      <c r="C101" s="30" t="n">
        <f aca="false">$C$14-E101</f>
        <v>8050</v>
      </c>
      <c r="D101" s="30" t="n">
        <f aca="false">G101+K101+O101+S101+W101+AA101</f>
        <v>0</v>
      </c>
      <c r="E101" s="30" t="n">
        <f aca="false">H101+I101+L101+M101+P101+Q101+T101+U101+X101+Y101+AB101+AC101</f>
        <v>0</v>
      </c>
      <c r="F101" s="30" t="n">
        <f aca="false">ROUND(F100+G101-H101-I101,2)</f>
        <v>0</v>
      </c>
      <c r="G101" s="30" t="n">
        <f aca="false">ROUND(F100*$E$18/12,2)</f>
        <v>0</v>
      </c>
      <c r="H101" s="30" t="n">
        <f aca="false">MIN($D$18,F100+G101)</f>
        <v>0</v>
      </c>
      <c r="I101" s="30" t="n">
        <f aca="false">MAX(0,MIN($C$14-(H101+L101+P101+T101+X101+AB101)-0,F100+G101-H101))</f>
        <v>0</v>
      </c>
      <c r="J101" s="30" t="n">
        <f aca="false">ROUND(J100+K101-L101-M101,2)</f>
        <v>0</v>
      </c>
      <c r="K101" s="30" t="n">
        <f aca="false">ROUND(J100*$E$19/12,2)</f>
        <v>0</v>
      </c>
      <c r="L101" s="30" t="n">
        <f aca="false">MIN($D$19,J100+K101)</f>
        <v>0</v>
      </c>
      <c r="M101" s="30" t="n">
        <f aca="false">MAX(0,MIN($C$14-(H101+L101+P101+T101+X101+AB101)-(I101),J100+K101-L101))</f>
        <v>0</v>
      </c>
      <c r="N101" s="30" t="n">
        <f aca="false">ROUND(N100+O101-P101-Q101,2)</f>
        <v>0</v>
      </c>
      <c r="O101" s="30" t="n">
        <f aca="false">ROUND(N100*$E$20/12,2)</f>
        <v>0</v>
      </c>
      <c r="P101" s="30" t="n">
        <f aca="false">MIN($D$20,N100+O101)</f>
        <v>0</v>
      </c>
      <c r="Q101" s="30" t="n">
        <f aca="false">MAX(0,MIN($C$14-(H101+L101+P101+T101+X101+AB101)-(I101+M101),N100+O101-P101))</f>
        <v>0</v>
      </c>
      <c r="R101" s="30" t="n">
        <f aca="false">ROUND(R100+S101-T101-U101,2)</f>
        <v>0</v>
      </c>
      <c r="S101" s="30" t="n">
        <f aca="false">ROUND(R100*$E$21/12,2)</f>
        <v>0</v>
      </c>
      <c r="T101" s="30" t="n">
        <f aca="false">MIN($D$21,R100+S101)</f>
        <v>0</v>
      </c>
      <c r="U101" s="30" t="n">
        <f aca="false">MAX(0,MIN($C$14-(H101+L101+P101+T101+X101+AB101)-(I101+M101+Q101),R100+S101-T101))</f>
        <v>0</v>
      </c>
      <c r="V101" s="30" t="n">
        <f aca="false">ROUND(V100+W101-X101-Y101,2)</f>
        <v>0</v>
      </c>
      <c r="W101" s="30" t="n">
        <f aca="false">ROUND(V100*$E$22/12,2)</f>
        <v>0</v>
      </c>
      <c r="X101" s="30" t="n">
        <f aca="false">MIN($D$22,V100+W101)</f>
        <v>0</v>
      </c>
      <c r="Y101" s="30" t="n">
        <f aca="false">MAX(0,MIN($C$14-(H101+L101+P101+T101+X101+AB101)-(I101+M101+Q101+U101),V100+W101-X101))</f>
        <v>0</v>
      </c>
      <c r="Z101" s="30" t="n">
        <f aca="false">ROUND(Z100+AA101-AB101-AC101,2)</f>
        <v>0</v>
      </c>
      <c r="AA101" s="30" t="n">
        <f aca="false">ROUND(Z100*$E$23/12,2)</f>
        <v>0</v>
      </c>
      <c r="AB101" s="30" t="n">
        <f aca="false">MIN($D$23,Z100+AA101)</f>
        <v>0</v>
      </c>
      <c r="AC101" s="30" t="n">
        <f aca="false">MAX(0,MIN($C$14-(H101+L101+P101+T101+X101+AB101)-(I101+M101+Q101+U101+Y101),Z100+AA101-AB101))</f>
        <v>0</v>
      </c>
    </row>
    <row r="102" customFormat="false" ht="15" hidden="false" customHeight="false" outlineLevel="0" collapsed="false">
      <c r="A102" s="29" t="n">
        <v>62</v>
      </c>
      <c r="B102" s="30" t="n">
        <f aca="false">F102+J102+N102+R102+V102+Z102</f>
        <v>0</v>
      </c>
      <c r="C102" s="30" t="n">
        <f aca="false">$C$14-E102</f>
        <v>8050</v>
      </c>
      <c r="D102" s="30" t="n">
        <f aca="false">G102+K102+O102+S102+W102+AA102</f>
        <v>0</v>
      </c>
      <c r="E102" s="30" t="n">
        <f aca="false">H102+I102+L102+M102+P102+Q102+T102+U102+X102+Y102+AB102+AC102</f>
        <v>0</v>
      </c>
      <c r="F102" s="30" t="n">
        <f aca="false">ROUND(F101+G102-H102-I102,2)</f>
        <v>0</v>
      </c>
      <c r="G102" s="30" t="n">
        <f aca="false">ROUND(F101*$E$18/12,2)</f>
        <v>0</v>
      </c>
      <c r="H102" s="30" t="n">
        <f aca="false">MIN($D$18,F101+G102)</f>
        <v>0</v>
      </c>
      <c r="I102" s="30" t="n">
        <f aca="false">MAX(0,MIN($C$14-(H102+L102+P102+T102+X102+AB102)-0,F101+G102-H102))</f>
        <v>0</v>
      </c>
      <c r="J102" s="30" t="n">
        <f aca="false">ROUND(J101+K102-L102-M102,2)</f>
        <v>0</v>
      </c>
      <c r="K102" s="30" t="n">
        <f aca="false">ROUND(J101*$E$19/12,2)</f>
        <v>0</v>
      </c>
      <c r="L102" s="30" t="n">
        <f aca="false">MIN($D$19,J101+K102)</f>
        <v>0</v>
      </c>
      <c r="M102" s="30" t="n">
        <f aca="false">MAX(0,MIN($C$14-(H102+L102+P102+T102+X102+AB102)-(I102),J101+K102-L102))</f>
        <v>0</v>
      </c>
      <c r="N102" s="30" t="n">
        <f aca="false">ROUND(N101+O102-P102-Q102,2)</f>
        <v>0</v>
      </c>
      <c r="O102" s="30" t="n">
        <f aca="false">ROUND(N101*$E$20/12,2)</f>
        <v>0</v>
      </c>
      <c r="P102" s="30" t="n">
        <f aca="false">MIN($D$20,N101+O102)</f>
        <v>0</v>
      </c>
      <c r="Q102" s="30" t="n">
        <f aca="false">MAX(0,MIN($C$14-(H102+L102+P102+T102+X102+AB102)-(I102+M102),N101+O102-P102))</f>
        <v>0</v>
      </c>
      <c r="R102" s="30" t="n">
        <f aca="false">ROUND(R101+S102-T102-U102,2)</f>
        <v>0</v>
      </c>
      <c r="S102" s="30" t="n">
        <f aca="false">ROUND(R101*$E$21/12,2)</f>
        <v>0</v>
      </c>
      <c r="T102" s="30" t="n">
        <f aca="false">MIN($D$21,R101+S102)</f>
        <v>0</v>
      </c>
      <c r="U102" s="30" t="n">
        <f aca="false">MAX(0,MIN($C$14-(H102+L102+P102+T102+X102+AB102)-(I102+M102+Q102),R101+S102-T102))</f>
        <v>0</v>
      </c>
      <c r="V102" s="30" t="n">
        <f aca="false">ROUND(V101+W102-X102-Y102,2)</f>
        <v>0</v>
      </c>
      <c r="W102" s="30" t="n">
        <f aca="false">ROUND(V101*$E$22/12,2)</f>
        <v>0</v>
      </c>
      <c r="X102" s="30" t="n">
        <f aca="false">MIN($D$22,V101+W102)</f>
        <v>0</v>
      </c>
      <c r="Y102" s="30" t="n">
        <f aca="false">MAX(0,MIN($C$14-(H102+L102+P102+T102+X102+AB102)-(I102+M102+Q102+U102),V101+W102-X102))</f>
        <v>0</v>
      </c>
      <c r="Z102" s="30" t="n">
        <f aca="false">ROUND(Z101+AA102-AB102-AC102,2)</f>
        <v>0</v>
      </c>
      <c r="AA102" s="30" t="n">
        <f aca="false">ROUND(Z101*$E$23/12,2)</f>
        <v>0</v>
      </c>
      <c r="AB102" s="30" t="n">
        <f aca="false">MIN($D$23,Z101+AA102)</f>
        <v>0</v>
      </c>
      <c r="AC102" s="30" t="n">
        <f aca="false">MAX(0,MIN($C$14-(H102+L102+P102+T102+X102+AB102)-(I102+M102+Q102+U102+Y102),Z101+AA102-AB102))</f>
        <v>0</v>
      </c>
    </row>
    <row r="103" customFormat="false" ht="15" hidden="false" customHeight="false" outlineLevel="0" collapsed="false">
      <c r="A103" s="29" t="n">
        <v>63</v>
      </c>
      <c r="B103" s="30" t="n">
        <f aca="false">F103+J103+N103+R103+V103+Z103</f>
        <v>0</v>
      </c>
      <c r="C103" s="30" t="n">
        <f aca="false">$C$14-E103</f>
        <v>8050</v>
      </c>
      <c r="D103" s="30" t="n">
        <f aca="false">G103+K103+O103+S103+W103+AA103</f>
        <v>0</v>
      </c>
      <c r="E103" s="30" t="n">
        <f aca="false">H103+I103+L103+M103+P103+Q103+T103+U103+X103+Y103+AB103+AC103</f>
        <v>0</v>
      </c>
      <c r="F103" s="30" t="n">
        <f aca="false">ROUND(F102+G103-H103-I103,2)</f>
        <v>0</v>
      </c>
      <c r="G103" s="30" t="n">
        <f aca="false">ROUND(F102*$E$18/12,2)</f>
        <v>0</v>
      </c>
      <c r="H103" s="30" t="n">
        <f aca="false">MIN($D$18,F102+G103)</f>
        <v>0</v>
      </c>
      <c r="I103" s="30" t="n">
        <f aca="false">MAX(0,MIN($C$14-(H103+L103+P103+T103+X103+AB103)-0,F102+G103-H103))</f>
        <v>0</v>
      </c>
      <c r="J103" s="30" t="n">
        <f aca="false">ROUND(J102+K103-L103-M103,2)</f>
        <v>0</v>
      </c>
      <c r="K103" s="30" t="n">
        <f aca="false">ROUND(J102*$E$19/12,2)</f>
        <v>0</v>
      </c>
      <c r="L103" s="30" t="n">
        <f aca="false">MIN($D$19,J102+K103)</f>
        <v>0</v>
      </c>
      <c r="M103" s="30" t="n">
        <f aca="false">MAX(0,MIN($C$14-(H103+L103+P103+T103+X103+AB103)-(I103),J102+K103-L103))</f>
        <v>0</v>
      </c>
      <c r="N103" s="30" t="n">
        <f aca="false">ROUND(N102+O103-P103-Q103,2)</f>
        <v>0</v>
      </c>
      <c r="O103" s="30" t="n">
        <f aca="false">ROUND(N102*$E$20/12,2)</f>
        <v>0</v>
      </c>
      <c r="P103" s="30" t="n">
        <f aca="false">MIN($D$20,N102+O103)</f>
        <v>0</v>
      </c>
      <c r="Q103" s="30" t="n">
        <f aca="false">MAX(0,MIN($C$14-(H103+L103+P103+T103+X103+AB103)-(I103+M103),N102+O103-P103))</f>
        <v>0</v>
      </c>
      <c r="R103" s="30" t="n">
        <f aca="false">ROUND(R102+S103-T103-U103,2)</f>
        <v>0</v>
      </c>
      <c r="S103" s="30" t="n">
        <f aca="false">ROUND(R102*$E$21/12,2)</f>
        <v>0</v>
      </c>
      <c r="T103" s="30" t="n">
        <f aca="false">MIN($D$21,R102+S103)</f>
        <v>0</v>
      </c>
      <c r="U103" s="30" t="n">
        <f aca="false">MAX(0,MIN($C$14-(H103+L103+P103+T103+X103+AB103)-(I103+M103+Q103),R102+S103-T103))</f>
        <v>0</v>
      </c>
      <c r="V103" s="30" t="n">
        <f aca="false">ROUND(V102+W103-X103-Y103,2)</f>
        <v>0</v>
      </c>
      <c r="W103" s="30" t="n">
        <f aca="false">ROUND(V102*$E$22/12,2)</f>
        <v>0</v>
      </c>
      <c r="X103" s="30" t="n">
        <f aca="false">MIN($D$22,V102+W103)</f>
        <v>0</v>
      </c>
      <c r="Y103" s="30" t="n">
        <f aca="false">MAX(0,MIN($C$14-(H103+L103+P103+T103+X103+AB103)-(I103+M103+Q103+U103),V102+W103-X103))</f>
        <v>0</v>
      </c>
      <c r="Z103" s="30" t="n">
        <f aca="false">ROUND(Z102+AA103-AB103-AC103,2)</f>
        <v>0</v>
      </c>
      <c r="AA103" s="30" t="n">
        <f aca="false">ROUND(Z102*$E$23/12,2)</f>
        <v>0</v>
      </c>
      <c r="AB103" s="30" t="n">
        <f aca="false">MIN($D$23,Z102+AA103)</f>
        <v>0</v>
      </c>
      <c r="AC103" s="30" t="n">
        <f aca="false">MAX(0,MIN($C$14-(H103+L103+P103+T103+X103+AB103)-(I103+M103+Q103+U103+Y103),Z102+AA103-AB103))</f>
        <v>0</v>
      </c>
    </row>
    <row r="104" customFormat="false" ht="15" hidden="false" customHeight="false" outlineLevel="0" collapsed="false">
      <c r="A104" s="29" t="n">
        <v>64</v>
      </c>
      <c r="B104" s="30" t="n">
        <f aca="false">F104+J104+N104+R104+V104+Z104</f>
        <v>0</v>
      </c>
      <c r="C104" s="30" t="n">
        <f aca="false">$C$14-E104</f>
        <v>8050</v>
      </c>
      <c r="D104" s="30" t="n">
        <f aca="false">G104+K104+O104+S104+W104+AA104</f>
        <v>0</v>
      </c>
      <c r="E104" s="30" t="n">
        <f aca="false">H104+I104+L104+M104+P104+Q104+T104+U104+X104+Y104+AB104+AC104</f>
        <v>0</v>
      </c>
      <c r="F104" s="30" t="n">
        <f aca="false">ROUND(F103+G104-H104-I104,2)</f>
        <v>0</v>
      </c>
      <c r="G104" s="30" t="n">
        <f aca="false">ROUND(F103*$E$18/12,2)</f>
        <v>0</v>
      </c>
      <c r="H104" s="30" t="n">
        <f aca="false">MIN($D$18,F103+G104)</f>
        <v>0</v>
      </c>
      <c r="I104" s="30" t="n">
        <f aca="false">MAX(0,MIN($C$14-(H104+L104+P104+T104+X104+AB104)-0,F103+G104-H104))</f>
        <v>0</v>
      </c>
      <c r="J104" s="30" t="n">
        <f aca="false">ROUND(J103+K104-L104-M104,2)</f>
        <v>0</v>
      </c>
      <c r="K104" s="30" t="n">
        <f aca="false">ROUND(J103*$E$19/12,2)</f>
        <v>0</v>
      </c>
      <c r="L104" s="30" t="n">
        <f aca="false">MIN($D$19,J103+K104)</f>
        <v>0</v>
      </c>
      <c r="M104" s="30" t="n">
        <f aca="false">MAX(0,MIN($C$14-(H104+L104+P104+T104+X104+AB104)-(I104),J103+K104-L104))</f>
        <v>0</v>
      </c>
      <c r="N104" s="30" t="n">
        <f aca="false">ROUND(N103+O104-P104-Q104,2)</f>
        <v>0</v>
      </c>
      <c r="O104" s="30" t="n">
        <f aca="false">ROUND(N103*$E$20/12,2)</f>
        <v>0</v>
      </c>
      <c r="P104" s="30" t="n">
        <f aca="false">MIN($D$20,N103+O104)</f>
        <v>0</v>
      </c>
      <c r="Q104" s="30" t="n">
        <f aca="false">MAX(0,MIN($C$14-(H104+L104+P104+T104+X104+AB104)-(I104+M104),N103+O104-P104))</f>
        <v>0</v>
      </c>
      <c r="R104" s="30" t="n">
        <f aca="false">ROUND(R103+S104-T104-U104,2)</f>
        <v>0</v>
      </c>
      <c r="S104" s="30" t="n">
        <f aca="false">ROUND(R103*$E$21/12,2)</f>
        <v>0</v>
      </c>
      <c r="T104" s="30" t="n">
        <f aca="false">MIN($D$21,R103+S104)</f>
        <v>0</v>
      </c>
      <c r="U104" s="30" t="n">
        <f aca="false">MAX(0,MIN($C$14-(H104+L104+P104+T104+X104+AB104)-(I104+M104+Q104),R103+S104-T104))</f>
        <v>0</v>
      </c>
      <c r="V104" s="30" t="n">
        <f aca="false">ROUND(V103+W104-X104-Y104,2)</f>
        <v>0</v>
      </c>
      <c r="W104" s="30" t="n">
        <f aca="false">ROUND(V103*$E$22/12,2)</f>
        <v>0</v>
      </c>
      <c r="X104" s="30" t="n">
        <f aca="false">MIN($D$22,V103+W104)</f>
        <v>0</v>
      </c>
      <c r="Y104" s="30" t="n">
        <f aca="false">MAX(0,MIN($C$14-(H104+L104+P104+T104+X104+AB104)-(I104+M104+Q104+U104),V103+W104-X104))</f>
        <v>0</v>
      </c>
      <c r="Z104" s="30" t="n">
        <f aca="false">ROUND(Z103+AA104-AB104-AC104,2)</f>
        <v>0</v>
      </c>
      <c r="AA104" s="30" t="n">
        <f aca="false">ROUND(Z103*$E$23/12,2)</f>
        <v>0</v>
      </c>
      <c r="AB104" s="30" t="n">
        <f aca="false">MIN($D$23,Z103+AA104)</f>
        <v>0</v>
      </c>
      <c r="AC104" s="30" t="n">
        <f aca="false">MAX(0,MIN($C$14-(H104+L104+P104+T104+X104+AB104)-(I104+M104+Q104+U104+Y104),Z103+AA104-AB104))</f>
        <v>0</v>
      </c>
    </row>
    <row r="105" customFormat="false" ht="15" hidden="false" customHeight="false" outlineLevel="0" collapsed="false">
      <c r="A105" s="29" t="n">
        <v>65</v>
      </c>
      <c r="B105" s="30" t="n">
        <f aca="false">F105+J105+N105+R105+V105+Z105</f>
        <v>0</v>
      </c>
      <c r="C105" s="30" t="n">
        <f aca="false">$C$14-E105</f>
        <v>8050</v>
      </c>
      <c r="D105" s="30" t="n">
        <f aca="false">G105+K105+O105+S105+W105+AA105</f>
        <v>0</v>
      </c>
      <c r="E105" s="30" t="n">
        <f aca="false">H105+I105+L105+M105+P105+Q105+T105+U105+X105+Y105+AB105+AC105</f>
        <v>0</v>
      </c>
      <c r="F105" s="30" t="n">
        <f aca="false">ROUND(F104+G105-H105-I105,2)</f>
        <v>0</v>
      </c>
      <c r="G105" s="30" t="n">
        <f aca="false">ROUND(F104*$E$18/12,2)</f>
        <v>0</v>
      </c>
      <c r="H105" s="30" t="n">
        <f aca="false">MIN($D$18,F104+G105)</f>
        <v>0</v>
      </c>
      <c r="I105" s="30" t="n">
        <f aca="false">MAX(0,MIN($C$14-(H105+L105+P105+T105+X105+AB105)-0,F104+G105-H105))</f>
        <v>0</v>
      </c>
      <c r="J105" s="30" t="n">
        <f aca="false">ROUND(J104+K105-L105-M105,2)</f>
        <v>0</v>
      </c>
      <c r="K105" s="30" t="n">
        <f aca="false">ROUND(J104*$E$19/12,2)</f>
        <v>0</v>
      </c>
      <c r="L105" s="30" t="n">
        <f aca="false">MIN($D$19,J104+K105)</f>
        <v>0</v>
      </c>
      <c r="M105" s="30" t="n">
        <f aca="false">MAX(0,MIN($C$14-(H105+L105+P105+T105+X105+AB105)-(I105),J104+K105-L105))</f>
        <v>0</v>
      </c>
      <c r="N105" s="30" t="n">
        <f aca="false">ROUND(N104+O105-P105-Q105,2)</f>
        <v>0</v>
      </c>
      <c r="O105" s="30" t="n">
        <f aca="false">ROUND(N104*$E$20/12,2)</f>
        <v>0</v>
      </c>
      <c r="P105" s="30" t="n">
        <f aca="false">MIN($D$20,N104+O105)</f>
        <v>0</v>
      </c>
      <c r="Q105" s="30" t="n">
        <f aca="false">MAX(0,MIN($C$14-(H105+L105+P105+T105+X105+AB105)-(I105+M105),N104+O105-P105))</f>
        <v>0</v>
      </c>
      <c r="R105" s="30" t="n">
        <f aca="false">ROUND(R104+S105-T105-U105,2)</f>
        <v>0</v>
      </c>
      <c r="S105" s="30" t="n">
        <f aca="false">ROUND(R104*$E$21/12,2)</f>
        <v>0</v>
      </c>
      <c r="T105" s="30" t="n">
        <f aca="false">MIN($D$21,R104+S105)</f>
        <v>0</v>
      </c>
      <c r="U105" s="30" t="n">
        <f aca="false">MAX(0,MIN($C$14-(H105+L105+P105+T105+X105+AB105)-(I105+M105+Q105),R104+S105-T105))</f>
        <v>0</v>
      </c>
      <c r="V105" s="30" t="n">
        <f aca="false">ROUND(V104+W105-X105-Y105,2)</f>
        <v>0</v>
      </c>
      <c r="W105" s="30" t="n">
        <f aca="false">ROUND(V104*$E$22/12,2)</f>
        <v>0</v>
      </c>
      <c r="X105" s="30" t="n">
        <f aca="false">MIN($D$22,V104+W105)</f>
        <v>0</v>
      </c>
      <c r="Y105" s="30" t="n">
        <f aca="false">MAX(0,MIN($C$14-(H105+L105+P105+T105+X105+AB105)-(I105+M105+Q105+U105),V104+W105-X105))</f>
        <v>0</v>
      </c>
      <c r="Z105" s="30" t="n">
        <f aca="false">ROUND(Z104+AA105-AB105-AC105,2)</f>
        <v>0</v>
      </c>
      <c r="AA105" s="30" t="n">
        <f aca="false">ROUND(Z104*$E$23/12,2)</f>
        <v>0</v>
      </c>
      <c r="AB105" s="30" t="n">
        <f aca="false">MIN($D$23,Z104+AA105)</f>
        <v>0</v>
      </c>
      <c r="AC105" s="30" t="n">
        <f aca="false">MAX(0,MIN($C$14-(H105+L105+P105+T105+X105+AB105)-(I105+M105+Q105+U105+Y105),Z104+AA105-AB105))</f>
        <v>0</v>
      </c>
    </row>
    <row r="106" customFormat="false" ht="15" hidden="false" customHeight="false" outlineLevel="0" collapsed="false">
      <c r="A106" s="29" t="n">
        <v>66</v>
      </c>
      <c r="B106" s="30" t="n">
        <f aca="false">F106+J106+N106+R106+V106+Z106</f>
        <v>0</v>
      </c>
      <c r="C106" s="30" t="n">
        <f aca="false">$C$14-E106</f>
        <v>8050</v>
      </c>
      <c r="D106" s="30" t="n">
        <f aca="false">G106+K106+O106+S106+W106+AA106</f>
        <v>0</v>
      </c>
      <c r="E106" s="30" t="n">
        <f aca="false">H106+I106+L106+M106+P106+Q106+T106+U106+X106+Y106+AB106+AC106</f>
        <v>0</v>
      </c>
      <c r="F106" s="30" t="n">
        <f aca="false">ROUND(F105+G106-H106-I106,2)</f>
        <v>0</v>
      </c>
      <c r="G106" s="30" t="n">
        <f aca="false">ROUND(F105*$E$18/12,2)</f>
        <v>0</v>
      </c>
      <c r="H106" s="30" t="n">
        <f aca="false">MIN($D$18,F105+G106)</f>
        <v>0</v>
      </c>
      <c r="I106" s="30" t="n">
        <f aca="false">MAX(0,MIN($C$14-(H106+L106+P106+T106+X106+AB106)-0,F105+G106-H106))</f>
        <v>0</v>
      </c>
      <c r="J106" s="30" t="n">
        <f aca="false">ROUND(J105+K106-L106-M106,2)</f>
        <v>0</v>
      </c>
      <c r="K106" s="30" t="n">
        <f aca="false">ROUND(J105*$E$19/12,2)</f>
        <v>0</v>
      </c>
      <c r="L106" s="30" t="n">
        <f aca="false">MIN($D$19,J105+K106)</f>
        <v>0</v>
      </c>
      <c r="M106" s="30" t="n">
        <f aca="false">MAX(0,MIN($C$14-(H106+L106+P106+T106+X106+AB106)-(I106),J105+K106-L106))</f>
        <v>0</v>
      </c>
      <c r="N106" s="30" t="n">
        <f aca="false">ROUND(N105+O106-P106-Q106,2)</f>
        <v>0</v>
      </c>
      <c r="O106" s="30" t="n">
        <f aca="false">ROUND(N105*$E$20/12,2)</f>
        <v>0</v>
      </c>
      <c r="P106" s="30" t="n">
        <f aca="false">MIN($D$20,N105+O106)</f>
        <v>0</v>
      </c>
      <c r="Q106" s="30" t="n">
        <f aca="false">MAX(0,MIN($C$14-(H106+L106+P106+T106+X106+AB106)-(I106+M106),N105+O106-P106))</f>
        <v>0</v>
      </c>
      <c r="R106" s="30" t="n">
        <f aca="false">ROUND(R105+S106-T106-U106,2)</f>
        <v>0</v>
      </c>
      <c r="S106" s="30" t="n">
        <f aca="false">ROUND(R105*$E$21/12,2)</f>
        <v>0</v>
      </c>
      <c r="T106" s="30" t="n">
        <f aca="false">MIN($D$21,R105+S106)</f>
        <v>0</v>
      </c>
      <c r="U106" s="30" t="n">
        <f aca="false">MAX(0,MIN($C$14-(H106+L106+P106+T106+X106+AB106)-(I106+M106+Q106),R105+S106-T106))</f>
        <v>0</v>
      </c>
      <c r="V106" s="30" t="n">
        <f aca="false">ROUND(V105+W106-X106-Y106,2)</f>
        <v>0</v>
      </c>
      <c r="W106" s="30" t="n">
        <f aca="false">ROUND(V105*$E$22/12,2)</f>
        <v>0</v>
      </c>
      <c r="X106" s="30" t="n">
        <f aca="false">MIN($D$22,V105+W106)</f>
        <v>0</v>
      </c>
      <c r="Y106" s="30" t="n">
        <f aca="false">MAX(0,MIN($C$14-(H106+L106+P106+T106+X106+AB106)-(I106+M106+Q106+U106),V105+W106-X106))</f>
        <v>0</v>
      </c>
      <c r="Z106" s="30" t="n">
        <f aca="false">ROUND(Z105+AA106-AB106-AC106,2)</f>
        <v>0</v>
      </c>
      <c r="AA106" s="30" t="n">
        <f aca="false">ROUND(Z105*$E$23/12,2)</f>
        <v>0</v>
      </c>
      <c r="AB106" s="30" t="n">
        <f aca="false">MIN($D$23,Z105+AA106)</f>
        <v>0</v>
      </c>
      <c r="AC106" s="30" t="n">
        <f aca="false">MAX(0,MIN($C$14-(H106+L106+P106+T106+X106+AB106)-(I106+M106+Q106+U106+Y106),Z105+AA106-AB106))</f>
        <v>0</v>
      </c>
    </row>
    <row r="107" customFormat="false" ht="15" hidden="false" customHeight="false" outlineLevel="0" collapsed="false">
      <c r="A107" s="29" t="n">
        <v>67</v>
      </c>
      <c r="B107" s="30" t="n">
        <f aca="false">F107+J107+N107+R107+V107+Z107</f>
        <v>0</v>
      </c>
      <c r="C107" s="30" t="n">
        <f aca="false">$C$14-E107</f>
        <v>8050</v>
      </c>
      <c r="D107" s="30" t="n">
        <f aca="false">G107+K107+O107+S107+W107+AA107</f>
        <v>0</v>
      </c>
      <c r="E107" s="30" t="n">
        <f aca="false">H107+I107+L107+M107+P107+Q107+T107+U107+X107+Y107+AB107+AC107</f>
        <v>0</v>
      </c>
      <c r="F107" s="30" t="n">
        <f aca="false">ROUND(F106+G107-H107-I107,2)</f>
        <v>0</v>
      </c>
      <c r="G107" s="30" t="n">
        <f aca="false">ROUND(F106*$E$18/12,2)</f>
        <v>0</v>
      </c>
      <c r="H107" s="30" t="n">
        <f aca="false">MIN($D$18,F106+G107)</f>
        <v>0</v>
      </c>
      <c r="I107" s="30" t="n">
        <f aca="false">MAX(0,MIN($C$14-(H107+L107+P107+T107+X107+AB107)-0,F106+G107-H107))</f>
        <v>0</v>
      </c>
      <c r="J107" s="30" t="n">
        <f aca="false">ROUND(J106+K107-L107-M107,2)</f>
        <v>0</v>
      </c>
      <c r="K107" s="30" t="n">
        <f aca="false">ROUND(J106*$E$19/12,2)</f>
        <v>0</v>
      </c>
      <c r="L107" s="30" t="n">
        <f aca="false">MIN($D$19,J106+K107)</f>
        <v>0</v>
      </c>
      <c r="M107" s="30" t="n">
        <f aca="false">MAX(0,MIN($C$14-(H107+L107+P107+T107+X107+AB107)-(I107),J106+K107-L107))</f>
        <v>0</v>
      </c>
      <c r="N107" s="30" t="n">
        <f aca="false">ROUND(N106+O107-P107-Q107,2)</f>
        <v>0</v>
      </c>
      <c r="O107" s="30" t="n">
        <f aca="false">ROUND(N106*$E$20/12,2)</f>
        <v>0</v>
      </c>
      <c r="P107" s="30" t="n">
        <f aca="false">MIN($D$20,N106+O107)</f>
        <v>0</v>
      </c>
      <c r="Q107" s="30" t="n">
        <f aca="false">MAX(0,MIN($C$14-(H107+L107+P107+T107+X107+AB107)-(I107+M107),N106+O107-P107))</f>
        <v>0</v>
      </c>
      <c r="R107" s="30" t="n">
        <f aca="false">ROUND(R106+S107-T107-U107,2)</f>
        <v>0</v>
      </c>
      <c r="S107" s="30" t="n">
        <f aca="false">ROUND(R106*$E$21/12,2)</f>
        <v>0</v>
      </c>
      <c r="T107" s="30" t="n">
        <f aca="false">MIN($D$21,R106+S107)</f>
        <v>0</v>
      </c>
      <c r="U107" s="30" t="n">
        <f aca="false">MAX(0,MIN($C$14-(H107+L107+P107+T107+X107+AB107)-(I107+M107+Q107),R106+S107-T107))</f>
        <v>0</v>
      </c>
      <c r="V107" s="30" t="n">
        <f aca="false">ROUND(V106+W107-X107-Y107,2)</f>
        <v>0</v>
      </c>
      <c r="W107" s="30" t="n">
        <f aca="false">ROUND(V106*$E$22/12,2)</f>
        <v>0</v>
      </c>
      <c r="X107" s="30" t="n">
        <f aca="false">MIN($D$22,V106+W107)</f>
        <v>0</v>
      </c>
      <c r="Y107" s="30" t="n">
        <f aca="false">MAX(0,MIN($C$14-(H107+L107+P107+T107+X107+AB107)-(I107+M107+Q107+U107),V106+W107-X107))</f>
        <v>0</v>
      </c>
      <c r="Z107" s="30" t="n">
        <f aca="false">ROUND(Z106+AA107-AB107-AC107,2)</f>
        <v>0</v>
      </c>
      <c r="AA107" s="30" t="n">
        <f aca="false">ROUND(Z106*$E$23/12,2)</f>
        <v>0</v>
      </c>
      <c r="AB107" s="30" t="n">
        <f aca="false">MIN($D$23,Z106+AA107)</f>
        <v>0</v>
      </c>
      <c r="AC107" s="30" t="n">
        <f aca="false">MAX(0,MIN($C$14-(H107+L107+P107+T107+X107+AB107)-(I107+M107+Q107+U107+Y107),Z106+AA107-AB107))</f>
        <v>0</v>
      </c>
    </row>
    <row r="108" customFormat="false" ht="15" hidden="false" customHeight="false" outlineLevel="0" collapsed="false">
      <c r="A108" s="29" t="n">
        <v>68</v>
      </c>
      <c r="B108" s="30" t="n">
        <f aca="false">F108+J108+N108+R108+V108+Z108</f>
        <v>0</v>
      </c>
      <c r="C108" s="30" t="n">
        <f aca="false">$C$14-E108</f>
        <v>8050</v>
      </c>
      <c r="D108" s="30" t="n">
        <f aca="false">G108+K108+O108+S108+W108+AA108</f>
        <v>0</v>
      </c>
      <c r="E108" s="30" t="n">
        <f aca="false">H108+I108+L108+M108+P108+Q108+T108+U108+X108+Y108+AB108+AC108</f>
        <v>0</v>
      </c>
      <c r="F108" s="30" t="n">
        <f aca="false">ROUND(F107+G108-H108-I108,2)</f>
        <v>0</v>
      </c>
      <c r="G108" s="30" t="n">
        <f aca="false">ROUND(F107*$E$18/12,2)</f>
        <v>0</v>
      </c>
      <c r="H108" s="30" t="n">
        <f aca="false">MIN($D$18,F107+G108)</f>
        <v>0</v>
      </c>
      <c r="I108" s="30" t="n">
        <f aca="false">MAX(0,MIN($C$14-(H108+L108+P108+T108+X108+AB108)-0,F107+G108-H108))</f>
        <v>0</v>
      </c>
      <c r="J108" s="30" t="n">
        <f aca="false">ROUND(J107+K108-L108-M108,2)</f>
        <v>0</v>
      </c>
      <c r="K108" s="30" t="n">
        <f aca="false">ROUND(J107*$E$19/12,2)</f>
        <v>0</v>
      </c>
      <c r="L108" s="30" t="n">
        <f aca="false">MIN($D$19,J107+K108)</f>
        <v>0</v>
      </c>
      <c r="M108" s="30" t="n">
        <f aca="false">MAX(0,MIN($C$14-(H108+L108+P108+T108+X108+AB108)-(I108),J107+K108-L108))</f>
        <v>0</v>
      </c>
      <c r="N108" s="30" t="n">
        <f aca="false">ROUND(N107+O108-P108-Q108,2)</f>
        <v>0</v>
      </c>
      <c r="O108" s="30" t="n">
        <f aca="false">ROUND(N107*$E$20/12,2)</f>
        <v>0</v>
      </c>
      <c r="P108" s="30" t="n">
        <f aca="false">MIN($D$20,N107+O108)</f>
        <v>0</v>
      </c>
      <c r="Q108" s="30" t="n">
        <f aca="false">MAX(0,MIN($C$14-(H108+L108+P108+T108+X108+AB108)-(I108+M108),N107+O108-P108))</f>
        <v>0</v>
      </c>
      <c r="R108" s="30" t="n">
        <f aca="false">ROUND(R107+S108-T108-U108,2)</f>
        <v>0</v>
      </c>
      <c r="S108" s="30" t="n">
        <f aca="false">ROUND(R107*$E$21/12,2)</f>
        <v>0</v>
      </c>
      <c r="T108" s="30" t="n">
        <f aca="false">MIN($D$21,R107+S108)</f>
        <v>0</v>
      </c>
      <c r="U108" s="30" t="n">
        <f aca="false">MAX(0,MIN($C$14-(H108+L108+P108+T108+X108+AB108)-(I108+M108+Q108),R107+S108-T108))</f>
        <v>0</v>
      </c>
      <c r="V108" s="30" t="n">
        <f aca="false">ROUND(V107+W108-X108-Y108,2)</f>
        <v>0</v>
      </c>
      <c r="W108" s="30" t="n">
        <f aca="false">ROUND(V107*$E$22/12,2)</f>
        <v>0</v>
      </c>
      <c r="X108" s="30" t="n">
        <f aca="false">MIN($D$22,V107+W108)</f>
        <v>0</v>
      </c>
      <c r="Y108" s="30" t="n">
        <f aca="false">MAX(0,MIN($C$14-(H108+L108+P108+T108+X108+AB108)-(I108+M108+Q108+U108),V107+W108-X108))</f>
        <v>0</v>
      </c>
      <c r="Z108" s="30" t="n">
        <f aca="false">ROUND(Z107+AA108-AB108-AC108,2)</f>
        <v>0</v>
      </c>
      <c r="AA108" s="30" t="n">
        <f aca="false">ROUND(Z107*$E$23/12,2)</f>
        <v>0</v>
      </c>
      <c r="AB108" s="30" t="n">
        <f aca="false">MIN($D$23,Z107+AA108)</f>
        <v>0</v>
      </c>
      <c r="AC108" s="30" t="n">
        <f aca="false">MAX(0,MIN($C$14-(H108+L108+P108+T108+X108+AB108)-(I108+M108+Q108+U108+Y108),Z107+AA108-AB108))</f>
        <v>0</v>
      </c>
    </row>
    <row r="109" customFormat="false" ht="15" hidden="false" customHeight="false" outlineLevel="0" collapsed="false">
      <c r="A109" s="29" t="n">
        <v>69</v>
      </c>
      <c r="B109" s="30" t="n">
        <f aca="false">F109+J109+N109+R109+V109+Z109</f>
        <v>0</v>
      </c>
      <c r="C109" s="30" t="n">
        <f aca="false">$C$14-E109</f>
        <v>8050</v>
      </c>
      <c r="D109" s="30" t="n">
        <f aca="false">G109+K109+O109+S109+W109+AA109</f>
        <v>0</v>
      </c>
      <c r="E109" s="30" t="n">
        <f aca="false">H109+I109+L109+M109+P109+Q109+T109+U109+X109+Y109+AB109+AC109</f>
        <v>0</v>
      </c>
      <c r="F109" s="30" t="n">
        <f aca="false">ROUND(F108+G109-H109-I109,2)</f>
        <v>0</v>
      </c>
      <c r="G109" s="30" t="n">
        <f aca="false">ROUND(F108*$E$18/12,2)</f>
        <v>0</v>
      </c>
      <c r="H109" s="30" t="n">
        <f aca="false">MIN($D$18,F108+G109)</f>
        <v>0</v>
      </c>
      <c r="I109" s="30" t="n">
        <f aca="false">MAX(0,MIN($C$14-(H109+L109+P109+T109+X109+AB109)-0,F108+G109-H109))</f>
        <v>0</v>
      </c>
      <c r="J109" s="30" t="n">
        <f aca="false">ROUND(J108+K109-L109-M109,2)</f>
        <v>0</v>
      </c>
      <c r="K109" s="30" t="n">
        <f aca="false">ROUND(J108*$E$19/12,2)</f>
        <v>0</v>
      </c>
      <c r="L109" s="30" t="n">
        <f aca="false">MIN($D$19,J108+K109)</f>
        <v>0</v>
      </c>
      <c r="M109" s="30" t="n">
        <f aca="false">MAX(0,MIN($C$14-(H109+L109+P109+T109+X109+AB109)-(I109),J108+K109-L109))</f>
        <v>0</v>
      </c>
      <c r="N109" s="30" t="n">
        <f aca="false">ROUND(N108+O109-P109-Q109,2)</f>
        <v>0</v>
      </c>
      <c r="O109" s="30" t="n">
        <f aca="false">ROUND(N108*$E$20/12,2)</f>
        <v>0</v>
      </c>
      <c r="P109" s="30" t="n">
        <f aca="false">MIN($D$20,N108+O109)</f>
        <v>0</v>
      </c>
      <c r="Q109" s="30" t="n">
        <f aca="false">MAX(0,MIN($C$14-(H109+L109+P109+T109+X109+AB109)-(I109+M109),N108+O109-P109))</f>
        <v>0</v>
      </c>
      <c r="R109" s="30" t="n">
        <f aca="false">ROUND(R108+S109-T109-U109,2)</f>
        <v>0</v>
      </c>
      <c r="S109" s="30" t="n">
        <f aca="false">ROUND(R108*$E$21/12,2)</f>
        <v>0</v>
      </c>
      <c r="T109" s="30" t="n">
        <f aca="false">MIN($D$21,R108+S109)</f>
        <v>0</v>
      </c>
      <c r="U109" s="30" t="n">
        <f aca="false">MAX(0,MIN($C$14-(H109+L109+P109+T109+X109+AB109)-(I109+M109+Q109),R108+S109-T109))</f>
        <v>0</v>
      </c>
      <c r="V109" s="30" t="n">
        <f aca="false">ROUND(V108+W109-X109-Y109,2)</f>
        <v>0</v>
      </c>
      <c r="W109" s="30" t="n">
        <f aca="false">ROUND(V108*$E$22/12,2)</f>
        <v>0</v>
      </c>
      <c r="X109" s="30" t="n">
        <f aca="false">MIN($D$22,V108+W109)</f>
        <v>0</v>
      </c>
      <c r="Y109" s="30" t="n">
        <f aca="false">MAX(0,MIN($C$14-(H109+L109+P109+T109+X109+AB109)-(I109+M109+Q109+U109),V108+W109-X109))</f>
        <v>0</v>
      </c>
      <c r="Z109" s="30" t="n">
        <f aca="false">ROUND(Z108+AA109-AB109-AC109,2)</f>
        <v>0</v>
      </c>
      <c r="AA109" s="30" t="n">
        <f aca="false">ROUND(Z108*$E$23/12,2)</f>
        <v>0</v>
      </c>
      <c r="AB109" s="30" t="n">
        <f aca="false">MIN($D$23,Z108+AA109)</f>
        <v>0</v>
      </c>
      <c r="AC109" s="30" t="n">
        <f aca="false">MAX(0,MIN($C$14-(H109+L109+P109+T109+X109+AB109)-(I109+M109+Q109+U109+Y109),Z108+AA109-AB109))</f>
        <v>0</v>
      </c>
    </row>
    <row r="110" customFormat="false" ht="15" hidden="false" customHeight="false" outlineLevel="0" collapsed="false">
      <c r="A110" s="29" t="n">
        <v>70</v>
      </c>
      <c r="B110" s="30" t="n">
        <f aca="false">F110+J110+N110+R110+V110+Z110</f>
        <v>0</v>
      </c>
      <c r="C110" s="30" t="n">
        <f aca="false">$C$14-E110</f>
        <v>8050</v>
      </c>
      <c r="D110" s="30" t="n">
        <f aca="false">G110+K110+O110+S110+W110+AA110</f>
        <v>0</v>
      </c>
      <c r="E110" s="30" t="n">
        <f aca="false">H110+I110+L110+M110+P110+Q110+T110+U110+X110+Y110+AB110+AC110</f>
        <v>0</v>
      </c>
      <c r="F110" s="30" t="n">
        <f aca="false">ROUND(F109+G110-H110-I110,2)</f>
        <v>0</v>
      </c>
      <c r="G110" s="30" t="n">
        <f aca="false">ROUND(F109*$E$18/12,2)</f>
        <v>0</v>
      </c>
      <c r="H110" s="30" t="n">
        <f aca="false">MIN($D$18,F109+G110)</f>
        <v>0</v>
      </c>
      <c r="I110" s="30" t="n">
        <f aca="false">MAX(0,MIN($C$14-(H110+L110+P110+T110+X110+AB110)-0,F109+G110-H110))</f>
        <v>0</v>
      </c>
      <c r="J110" s="30" t="n">
        <f aca="false">ROUND(J109+K110-L110-M110,2)</f>
        <v>0</v>
      </c>
      <c r="K110" s="30" t="n">
        <f aca="false">ROUND(J109*$E$19/12,2)</f>
        <v>0</v>
      </c>
      <c r="L110" s="30" t="n">
        <f aca="false">MIN($D$19,J109+K110)</f>
        <v>0</v>
      </c>
      <c r="M110" s="30" t="n">
        <f aca="false">MAX(0,MIN($C$14-(H110+L110+P110+T110+X110+AB110)-(I110),J109+K110-L110))</f>
        <v>0</v>
      </c>
      <c r="N110" s="30" t="n">
        <f aca="false">ROUND(N109+O110-P110-Q110,2)</f>
        <v>0</v>
      </c>
      <c r="O110" s="30" t="n">
        <f aca="false">ROUND(N109*$E$20/12,2)</f>
        <v>0</v>
      </c>
      <c r="P110" s="30" t="n">
        <f aca="false">MIN($D$20,N109+O110)</f>
        <v>0</v>
      </c>
      <c r="Q110" s="30" t="n">
        <f aca="false">MAX(0,MIN($C$14-(H110+L110+P110+T110+X110+AB110)-(I110+M110),N109+O110-P110))</f>
        <v>0</v>
      </c>
      <c r="R110" s="30" t="n">
        <f aca="false">ROUND(R109+S110-T110-U110,2)</f>
        <v>0</v>
      </c>
      <c r="S110" s="30" t="n">
        <f aca="false">ROUND(R109*$E$21/12,2)</f>
        <v>0</v>
      </c>
      <c r="T110" s="30" t="n">
        <f aca="false">MIN($D$21,R109+S110)</f>
        <v>0</v>
      </c>
      <c r="U110" s="30" t="n">
        <f aca="false">MAX(0,MIN($C$14-(H110+L110+P110+T110+X110+AB110)-(I110+M110+Q110),R109+S110-T110))</f>
        <v>0</v>
      </c>
      <c r="V110" s="30" t="n">
        <f aca="false">ROUND(V109+W110-X110-Y110,2)</f>
        <v>0</v>
      </c>
      <c r="W110" s="30" t="n">
        <f aca="false">ROUND(V109*$E$22/12,2)</f>
        <v>0</v>
      </c>
      <c r="X110" s="30" t="n">
        <f aca="false">MIN($D$22,V109+W110)</f>
        <v>0</v>
      </c>
      <c r="Y110" s="30" t="n">
        <f aca="false">MAX(0,MIN($C$14-(H110+L110+P110+T110+X110+AB110)-(I110+M110+Q110+U110),V109+W110-X110))</f>
        <v>0</v>
      </c>
      <c r="Z110" s="30" t="n">
        <f aca="false">ROUND(Z109+AA110-AB110-AC110,2)</f>
        <v>0</v>
      </c>
      <c r="AA110" s="30" t="n">
        <f aca="false">ROUND(Z109*$E$23/12,2)</f>
        <v>0</v>
      </c>
      <c r="AB110" s="30" t="n">
        <f aca="false">MIN($D$23,Z109+AA110)</f>
        <v>0</v>
      </c>
      <c r="AC110" s="30" t="n">
        <f aca="false">MAX(0,MIN($C$14-(H110+L110+P110+T110+X110+AB110)-(I110+M110+Q110+U110+Y110),Z109+AA110-AB110))</f>
        <v>0</v>
      </c>
    </row>
    <row r="111" customFormat="false" ht="15" hidden="false" customHeight="false" outlineLevel="0" collapsed="false">
      <c r="A111" s="29" t="n">
        <v>71</v>
      </c>
      <c r="B111" s="30" t="n">
        <f aca="false">F111+J111+N111+R111+V111+Z111</f>
        <v>0</v>
      </c>
      <c r="C111" s="30" t="n">
        <f aca="false">$C$14-E111</f>
        <v>8050</v>
      </c>
      <c r="D111" s="30" t="n">
        <f aca="false">G111+K111+O111+S111+W111+AA111</f>
        <v>0</v>
      </c>
      <c r="E111" s="30" t="n">
        <f aca="false">H111+I111+L111+M111+P111+Q111+T111+U111+X111+Y111+AB111+AC111</f>
        <v>0</v>
      </c>
      <c r="F111" s="30" t="n">
        <f aca="false">ROUND(F110+G111-H111-I111,2)</f>
        <v>0</v>
      </c>
      <c r="G111" s="30" t="n">
        <f aca="false">ROUND(F110*$E$18/12,2)</f>
        <v>0</v>
      </c>
      <c r="H111" s="30" t="n">
        <f aca="false">MIN($D$18,F110+G111)</f>
        <v>0</v>
      </c>
      <c r="I111" s="30" t="n">
        <f aca="false">MAX(0,MIN($C$14-(H111+L111+P111+T111+X111+AB111)-0,F110+G111-H111))</f>
        <v>0</v>
      </c>
      <c r="J111" s="30" t="n">
        <f aca="false">ROUND(J110+K111-L111-M111,2)</f>
        <v>0</v>
      </c>
      <c r="K111" s="30" t="n">
        <f aca="false">ROUND(J110*$E$19/12,2)</f>
        <v>0</v>
      </c>
      <c r="L111" s="30" t="n">
        <f aca="false">MIN($D$19,J110+K111)</f>
        <v>0</v>
      </c>
      <c r="M111" s="30" t="n">
        <f aca="false">MAX(0,MIN($C$14-(H111+L111+P111+T111+X111+AB111)-(I111),J110+K111-L111))</f>
        <v>0</v>
      </c>
      <c r="N111" s="30" t="n">
        <f aca="false">ROUND(N110+O111-P111-Q111,2)</f>
        <v>0</v>
      </c>
      <c r="O111" s="30" t="n">
        <f aca="false">ROUND(N110*$E$20/12,2)</f>
        <v>0</v>
      </c>
      <c r="P111" s="30" t="n">
        <f aca="false">MIN($D$20,N110+O111)</f>
        <v>0</v>
      </c>
      <c r="Q111" s="30" t="n">
        <f aca="false">MAX(0,MIN($C$14-(H111+L111+P111+T111+X111+AB111)-(I111+M111),N110+O111-P111))</f>
        <v>0</v>
      </c>
      <c r="R111" s="30" t="n">
        <f aca="false">ROUND(R110+S111-T111-U111,2)</f>
        <v>0</v>
      </c>
      <c r="S111" s="30" t="n">
        <f aca="false">ROUND(R110*$E$21/12,2)</f>
        <v>0</v>
      </c>
      <c r="T111" s="30" t="n">
        <f aca="false">MIN($D$21,R110+S111)</f>
        <v>0</v>
      </c>
      <c r="U111" s="30" t="n">
        <f aca="false">MAX(0,MIN($C$14-(H111+L111+P111+T111+X111+AB111)-(I111+M111+Q111),R110+S111-T111))</f>
        <v>0</v>
      </c>
      <c r="V111" s="30" t="n">
        <f aca="false">ROUND(V110+W111-X111-Y111,2)</f>
        <v>0</v>
      </c>
      <c r="W111" s="30" t="n">
        <f aca="false">ROUND(V110*$E$22/12,2)</f>
        <v>0</v>
      </c>
      <c r="X111" s="30" t="n">
        <f aca="false">MIN($D$22,V110+W111)</f>
        <v>0</v>
      </c>
      <c r="Y111" s="30" t="n">
        <f aca="false">MAX(0,MIN($C$14-(H111+L111+P111+T111+X111+AB111)-(I111+M111+Q111+U111),V110+W111-X111))</f>
        <v>0</v>
      </c>
      <c r="Z111" s="30" t="n">
        <f aca="false">ROUND(Z110+AA111-AB111-AC111,2)</f>
        <v>0</v>
      </c>
      <c r="AA111" s="30" t="n">
        <f aca="false">ROUND(Z110*$E$23/12,2)</f>
        <v>0</v>
      </c>
      <c r="AB111" s="30" t="n">
        <f aca="false">MIN($D$23,Z110+AA111)</f>
        <v>0</v>
      </c>
      <c r="AC111" s="30" t="n">
        <f aca="false">MAX(0,MIN($C$14-(H111+L111+P111+T111+X111+AB111)-(I111+M111+Q111+U111+Y111),Z110+AA111-AB111))</f>
        <v>0</v>
      </c>
    </row>
    <row r="112" customFormat="false" ht="15" hidden="false" customHeight="false" outlineLevel="0" collapsed="false">
      <c r="A112" s="29" t="n">
        <v>72</v>
      </c>
      <c r="B112" s="30" t="n">
        <f aca="false">F112+J112+N112+R112+V112+Z112</f>
        <v>0</v>
      </c>
      <c r="C112" s="30" t="n">
        <f aca="false">$C$14-E112</f>
        <v>8050</v>
      </c>
      <c r="D112" s="30" t="n">
        <f aca="false">G112+K112+O112+S112+W112+AA112</f>
        <v>0</v>
      </c>
      <c r="E112" s="30" t="n">
        <f aca="false">H112+I112+L112+M112+P112+Q112+T112+U112+X112+Y112+AB112+AC112</f>
        <v>0</v>
      </c>
      <c r="F112" s="30" t="n">
        <f aca="false">ROUND(F111+G112-H112-I112,2)</f>
        <v>0</v>
      </c>
      <c r="G112" s="30" t="n">
        <f aca="false">ROUND(F111*$E$18/12,2)</f>
        <v>0</v>
      </c>
      <c r="H112" s="30" t="n">
        <f aca="false">MIN($D$18,F111+G112)</f>
        <v>0</v>
      </c>
      <c r="I112" s="30" t="n">
        <f aca="false">MAX(0,MIN($C$14-(H112+L112+P112+T112+X112+AB112)-0,F111+G112-H112))</f>
        <v>0</v>
      </c>
      <c r="J112" s="30" t="n">
        <f aca="false">ROUND(J111+K112-L112-M112,2)</f>
        <v>0</v>
      </c>
      <c r="K112" s="30" t="n">
        <f aca="false">ROUND(J111*$E$19/12,2)</f>
        <v>0</v>
      </c>
      <c r="L112" s="30" t="n">
        <f aca="false">MIN($D$19,J111+K112)</f>
        <v>0</v>
      </c>
      <c r="M112" s="30" t="n">
        <f aca="false">MAX(0,MIN($C$14-(H112+L112+P112+T112+X112+AB112)-(I112),J111+K112-L112))</f>
        <v>0</v>
      </c>
      <c r="N112" s="30" t="n">
        <f aca="false">ROUND(N111+O112-P112-Q112,2)</f>
        <v>0</v>
      </c>
      <c r="O112" s="30" t="n">
        <f aca="false">ROUND(N111*$E$20/12,2)</f>
        <v>0</v>
      </c>
      <c r="P112" s="30" t="n">
        <f aca="false">MIN($D$20,N111+O112)</f>
        <v>0</v>
      </c>
      <c r="Q112" s="30" t="n">
        <f aca="false">MAX(0,MIN($C$14-(H112+L112+P112+T112+X112+AB112)-(I112+M112),N111+O112-P112))</f>
        <v>0</v>
      </c>
      <c r="R112" s="30" t="n">
        <f aca="false">ROUND(R111+S112-T112-U112,2)</f>
        <v>0</v>
      </c>
      <c r="S112" s="30" t="n">
        <f aca="false">ROUND(R111*$E$21/12,2)</f>
        <v>0</v>
      </c>
      <c r="T112" s="30" t="n">
        <f aca="false">MIN($D$21,R111+S112)</f>
        <v>0</v>
      </c>
      <c r="U112" s="30" t="n">
        <f aca="false">MAX(0,MIN($C$14-(H112+L112+P112+T112+X112+AB112)-(I112+M112+Q112),R111+S112-T112))</f>
        <v>0</v>
      </c>
      <c r="V112" s="30" t="n">
        <f aca="false">ROUND(V111+W112-X112-Y112,2)</f>
        <v>0</v>
      </c>
      <c r="W112" s="30" t="n">
        <f aca="false">ROUND(V111*$E$22/12,2)</f>
        <v>0</v>
      </c>
      <c r="X112" s="30" t="n">
        <f aca="false">MIN($D$22,V111+W112)</f>
        <v>0</v>
      </c>
      <c r="Y112" s="30" t="n">
        <f aca="false">MAX(0,MIN($C$14-(H112+L112+P112+T112+X112+AB112)-(I112+M112+Q112+U112),V111+W112-X112))</f>
        <v>0</v>
      </c>
      <c r="Z112" s="30" t="n">
        <f aca="false">ROUND(Z111+AA112-AB112-AC112,2)</f>
        <v>0</v>
      </c>
      <c r="AA112" s="30" t="n">
        <f aca="false">ROUND(Z111*$E$23/12,2)</f>
        <v>0</v>
      </c>
      <c r="AB112" s="30" t="n">
        <f aca="false">MIN($D$23,Z111+AA112)</f>
        <v>0</v>
      </c>
      <c r="AC112" s="30" t="n">
        <f aca="false">MAX(0,MIN($C$14-(H112+L112+P112+T112+X112+AB112)-(I112+M112+Q112+U112+Y112),Z111+AA112-AB112))</f>
        <v>0</v>
      </c>
    </row>
    <row r="113" customFormat="false" ht="15" hidden="false" customHeight="false" outlineLevel="0" collapsed="false">
      <c r="A113" s="29" t="n">
        <v>73</v>
      </c>
      <c r="B113" s="30" t="n">
        <f aca="false">F113+J113+N113+R113+V113+Z113</f>
        <v>0</v>
      </c>
      <c r="C113" s="30" t="n">
        <f aca="false">$C$14-E113</f>
        <v>8050</v>
      </c>
      <c r="D113" s="30" t="n">
        <f aca="false">G113+K113+O113+S113+W113+AA113</f>
        <v>0</v>
      </c>
      <c r="E113" s="30" t="n">
        <f aca="false">H113+I113+L113+M113+P113+Q113+T113+U113+X113+Y113+AB113+AC113</f>
        <v>0</v>
      </c>
      <c r="F113" s="30" t="n">
        <f aca="false">ROUND(F112+G113-H113-I113,2)</f>
        <v>0</v>
      </c>
      <c r="G113" s="30" t="n">
        <f aca="false">ROUND(F112*$E$18/12,2)</f>
        <v>0</v>
      </c>
      <c r="H113" s="30" t="n">
        <f aca="false">MIN($D$18,F112+G113)</f>
        <v>0</v>
      </c>
      <c r="I113" s="30" t="n">
        <f aca="false">MAX(0,MIN($C$14-(H113+L113+P113+T113+X113+AB113)-0,F112+G113-H113))</f>
        <v>0</v>
      </c>
      <c r="J113" s="30" t="n">
        <f aca="false">ROUND(J112+K113-L113-M113,2)</f>
        <v>0</v>
      </c>
      <c r="K113" s="30" t="n">
        <f aca="false">ROUND(J112*$E$19/12,2)</f>
        <v>0</v>
      </c>
      <c r="L113" s="30" t="n">
        <f aca="false">MIN($D$19,J112+K113)</f>
        <v>0</v>
      </c>
      <c r="M113" s="30" t="n">
        <f aca="false">MAX(0,MIN($C$14-(H113+L113+P113+T113+X113+AB113)-(I113),J112+K113-L113))</f>
        <v>0</v>
      </c>
      <c r="N113" s="30" t="n">
        <f aca="false">ROUND(N112+O113-P113-Q113,2)</f>
        <v>0</v>
      </c>
      <c r="O113" s="30" t="n">
        <f aca="false">ROUND(N112*$E$20/12,2)</f>
        <v>0</v>
      </c>
      <c r="P113" s="30" t="n">
        <f aca="false">MIN($D$20,N112+O113)</f>
        <v>0</v>
      </c>
      <c r="Q113" s="30" t="n">
        <f aca="false">MAX(0,MIN($C$14-(H113+L113+P113+T113+X113+AB113)-(I113+M113),N112+O113-P113))</f>
        <v>0</v>
      </c>
      <c r="R113" s="30" t="n">
        <f aca="false">ROUND(R112+S113-T113-U113,2)</f>
        <v>0</v>
      </c>
      <c r="S113" s="30" t="n">
        <f aca="false">ROUND(R112*$E$21/12,2)</f>
        <v>0</v>
      </c>
      <c r="T113" s="30" t="n">
        <f aca="false">MIN($D$21,R112+S113)</f>
        <v>0</v>
      </c>
      <c r="U113" s="30" t="n">
        <f aca="false">MAX(0,MIN($C$14-(H113+L113+P113+T113+X113+AB113)-(I113+M113+Q113),R112+S113-T113))</f>
        <v>0</v>
      </c>
      <c r="V113" s="30" t="n">
        <f aca="false">ROUND(V112+W113-X113-Y113,2)</f>
        <v>0</v>
      </c>
      <c r="W113" s="30" t="n">
        <f aca="false">ROUND(V112*$E$22/12,2)</f>
        <v>0</v>
      </c>
      <c r="X113" s="30" t="n">
        <f aca="false">MIN($D$22,V112+W113)</f>
        <v>0</v>
      </c>
      <c r="Y113" s="30" t="n">
        <f aca="false">MAX(0,MIN($C$14-(H113+L113+P113+T113+X113+AB113)-(I113+M113+Q113+U113),V112+W113-X113))</f>
        <v>0</v>
      </c>
      <c r="Z113" s="30" t="n">
        <f aca="false">ROUND(Z112+AA113-AB113-AC113,2)</f>
        <v>0</v>
      </c>
      <c r="AA113" s="30" t="n">
        <f aca="false">ROUND(Z112*$E$23/12,2)</f>
        <v>0</v>
      </c>
      <c r="AB113" s="30" t="n">
        <f aca="false">MIN($D$23,Z112+AA113)</f>
        <v>0</v>
      </c>
      <c r="AC113" s="30" t="n">
        <f aca="false">MAX(0,MIN($C$14-(H113+L113+P113+T113+X113+AB113)-(I113+M113+Q113+U113+Y113),Z112+AA113-AB113))</f>
        <v>0</v>
      </c>
    </row>
    <row r="114" customFormat="false" ht="15" hidden="false" customHeight="false" outlineLevel="0" collapsed="false">
      <c r="A114" s="29" t="n">
        <v>74</v>
      </c>
      <c r="B114" s="30" t="n">
        <f aca="false">F114+J114+N114+R114+V114+Z114</f>
        <v>0</v>
      </c>
      <c r="C114" s="30" t="n">
        <f aca="false">$C$14-E114</f>
        <v>8050</v>
      </c>
      <c r="D114" s="30" t="n">
        <f aca="false">G114+K114+O114+S114+W114+AA114</f>
        <v>0</v>
      </c>
      <c r="E114" s="30" t="n">
        <f aca="false">H114+I114+L114+M114+P114+Q114+T114+U114+X114+Y114+AB114+AC114</f>
        <v>0</v>
      </c>
      <c r="F114" s="30" t="n">
        <f aca="false">ROUND(F113+G114-H114-I114,2)</f>
        <v>0</v>
      </c>
      <c r="G114" s="30" t="n">
        <f aca="false">ROUND(F113*$E$18/12,2)</f>
        <v>0</v>
      </c>
      <c r="H114" s="30" t="n">
        <f aca="false">MIN($D$18,F113+G114)</f>
        <v>0</v>
      </c>
      <c r="I114" s="30" t="n">
        <f aca="false">MAX(0,MIN($C$14-(H114+L114+P114+T114+X114+AB114)-0,F113+G114-H114))</f>
        <v>0</v>
      </c>
      <c r="J114" s="30" t="n">
        <f aca="false">ROUND(J113+K114-L114-M114,2)</f>
        <v>0</v>
      </c>
      <c r="K114" s="30" t="n">
        <f aca="false">ROUND(J113*$E$19/12,2)</f>
        <v>0</v>
      </c>
      <c r="L114" s="30" t="n">
        <f aca="false">MIN($D$19,J113+K114)</f>
        <v>0</v>
      </c>
      <c r="M114" s="30" t="n">
        <f aca="false">MAX(0,MIN($C$14-(H114+L114+P114+T114+X114+AB114)-(I114),J113+K114-L114))</f>
        <v>0</v>
      </c>
      <c r="N114" s="30" t="n">
        <f aca="false">ROUND(N113+O114-P114-Q114,2)</f>
        <v>0</v>
      </c>
      <c r="O114" s="30" t="n">
        <f aca="false">ROUND(N113*$E$20/12,2)</f>
        <v>0</v>
      </c>
      <c r="P114" s="30" t="n">
        <f aca="false">MIN($D$20,N113+O114)</f>
        <v>0</v>
      </c>
      <c r="Q114" s="30" t="n">
        <f aca="false">MAX(0,MIN($C$14-(H114+L114+P114+T114+X114+AB114)-(I114+M114),N113+O114-P114))</f>
        <v>0</v>
      </c>
      <c r="R114" s="30" t="n">
        <f aca="false">ROUND(R113+S114-T114-U114,2)</f>
        <v>0</v>
      </c>
      <c r="S114" s="30" t="n">
        <f aca="false">ROUND(R113*$E$21/12,2)</f>
        <v>0</v>
      </c>
      <c r="T114" s="30" t="n">
        <f aca="false">MIN($D$21,R113+S114)</f>
        <v>0</v>
      </c>
      <c r="U114" s="30" t="n">
        <f aca="false">MAX(0,MIN($C$14-(H114+L114+P114+T114+X114+AB114)-(I114+M114+Q114),R113+S114-T114))</f>
        <v>0</v>
      </c>
      <c r="V114" s="30" t="n">
        <f aca="false">ROUND(V113+W114-X114-Y114,2)</f>
        <v>0</v>
      </c>
      <c r="W114" s="30" t="n">
        <f aca="false">ROUND(V113*$E$22/12,2)</f>
        <v>0</v>
      </c>
      <c r="X114" s="30" t="n">
        <f aca="false">MIN($D$22,V113+W114)</f>
        <v>0</v>
      </c>
      <c r="Y114" s="30" t="n">
        <f aca="false">MAX(0,MIN($C$14-(H114+L114+P114+T114+X114+AB114)-(I114+M114+Q114+U114),V113+W114-X114))</f>
        <v>0</v>
      </c>
      <c r="Z114" s="30" t="n">
        <f aca="false">ROUND(Z113+AA114-AB114-AC114,2)</f>
        <v>0</v>
      </c>
      <c r="AA114" s="30" t="n">
        <f aca="false">ROUND(Z113*$E$23/12,2)</f>
        <v>0</v>
      </c>
      <c r="AB114" s="30" t="n">
        <f aca="false">MIN($D$23,Z113+AA114)</f>
        <v>0</v>
      </c>
      <c r="AC114" s="30" t="n">
        <f aca="false">MAX(0,MIN($C$14-(H114+L114+P114+T114+X114+AB114)-(I114+M114+Q114+U114+Y114),Z113+AA114-AB114))</f>
        <v>0</v>
      </c>
    </row>
    <row r="115" customFormat="false" ht="15" hidden="false" customHeight="false" outlineLevel="0" collapsed="false">
      <c r="A115" s="29" t="n">
        <v>75</v>
      </c>
      <c r="B115" s="30" t="n">
        <f aca="false">F115+J115+N115+R115+V115+Z115</f>
        <v>0</v>
      </c>
      <c r="C115" s="30" t="n">
        <f aca="false">$C$14-E115</f>
        <v>8050</v>
      </c>
      <c r="D115" s="30" t="n">
        <f aca="false">G115+K115+O115+S115+W115+AA115</f>
        <v>0</v>
      </c>
      <c r="E115" s="30" t="n">
        <f aca="false">H115+I115+L115+M115+P115+Q115+T115+U115+X115+Y115+AB115+AC115</f>
        <v>0</v>
      </c>
      <c r="F115" s="30" t="n">
        <f aca="false">ROUND(F114+G115-H115-I115,2)</f>
        <v>0</v>
      </c>
      <c r="G115" s="30" t="n">
        <f aca="false">ROUND(F114*$E$18/12,2)</f>
        <v>0</v>
      </c>
      <c r="H115" s="30" t="n">
        <f aca="false">MIN($D$18,F114+G115)</f>
        <v>0</v>
      </c>
      <c r="I115" s="30" t="n">
        <f aca="false">MAX(0,MIN($C$14-(H115+L115+P115+T115+X115+AB115)-0,F114+G115-H115))</f>
        <v>0</v>
      </c>
      <c r="J115" s="30" t="n">
        <f aca="false">ROUND(J114+K115-L115-M115,2)</f>
        <v>0</v>
      </c>
      <c r="K115" s="30" t="n">
        <f aca="false">ROUND(J114*$E$19/12,2)</f>
        <v>0</v>
      </c>
      <c r="L115" s="30" t="n">
        <f aca="false">MIN($D$19,J114+K115)</f>
        <v>0</v>
      </c>
      <c r="M115" s="30" t="n">
        <f aca="false">MAX(0,MIN($C$14-(H115+L115+P115+T115+X115+AB115)-(I115),J114+K115-L115))</f>
        <v>0</v>
      </c>
      <c r="N115" s="30" t="n">
        <f aca="false">ROUND(N114+O115-P115-Q115,2)</f>
        <v>0</v>
      </c>
      <c r="O115" s="30" t="n">
        <f aca="false">ROUND(N114*$E$20/12,2)</f>
        <v>0</v>
      </c>
      <c r="P115" s="30" t="n">
        <f aca="false">MIN($D$20,N114+O115)</f>
        <v>0</v>
      </c>
      <c r="Q115" s="30" t="n">
        <f aca="false">MAX(0,MIN($C$14-(H115+L115+P115+T115+X115+AB115)-(I115+M115),N114+O115-P115))</f>
        <v>0</v>
      </c>
      <c r="R115" s="30" t="n">
        <f aca="false">ROUND(R114+S115-T115-U115,2)</f>
        <v>0</v>
      </c>
      <c r="S115" s="30" t="n">
        <f aca="false">ROUND(R114*$E$21/12,2)</f>
        <v>0</v>
      </c>
      <c r="T115" s="30" t="n">
        <f aca="false">MIN($D$21,R114+S115)</f>
        <v>0</v>
      </c>
      <c r="U115" s="30" t="n">
        <f aca="false">MAX(0,MIN($C$14-(H115+L115+P115+T115+X115+AB115)-(I115+M115+Q115),R114+S115-T115))</f>
        <v>0</v>
      </c>
      <c r="V115" s="30" t="n">
        <f aca="false">ROUND(V114+W115-X115-Y115,2)</f>
        <v>0</v>
      </c>
      <c r="W115" s="30" t="n">
        <f aca="false">ROUND(V114*$E$22/12,2)</f>
        <v>0</v>
      </c>
      <c r="X115" s="30" t="n">
        <f aca="false">MIN($D$22,V114+W115)</f>
        <v>0</v>
      </c>
      <c r="Y115" s="30" t="n">
        <f aca="false">MAX(0,MIN($C$14-(H115+L115+P115+T115+X115+AB115)-(I115+M115+Q115+U115),V114+W115-X115))</f>
        <v>0</v>
      </c>
      <c r="Z115" s="30" t="n">
        <f aca="false">ROUND(Z114+AA115-AB115-AC115,2)</f>
        <v>0</v>
      </c>
      <c r="AA115" s="30" t="n">
        <f aca="false">ROUND(Z114*$E$23/12,2)</f>
        <v>0</v>
      </c>
      <c r="AB115" s="30" t="n">
        <f aca="false">MIN($D$23,Z114+AA115)</f>
        <v>0</v>
      </c>
      <c r="AC115" s="30" t="n">
        <f aca="false">MAX(0,MIN($C$14-(H115+L115+P115+T115+X115+AB115)-(I115+M115+Q115+U115+Y115),Z114+AA115-AB115))</f>
        <v>0</v>
      </c>
    </row>
    <row r="116" customFormat="false" ht="15" hidden="false" customHeight="false" outlineLevel="0" collapsed="false">
      <c r="A116" s="29" t="n">
        <v>76</v>
      </c>
      <c r="B116" s="30" t="n">
        <f aca="false">F116+J116+N116+R116+V116+Z116</f>
        <v>0</v>
      </c>
      <c r="C116" s="30" t="n">
        <f aca="false">$C$14-E116</f>
        <v>8050</v>
      </c>
      <c r="D116" s="30" t="n">
        <f aca="false">G116+K116+O116+S116+W116+AA116</f>
        <v>0</v>
      </c>
      <c r="E116" s="30" t="n">
        <f aca="false">H116+I116+L116+M116+P116+Q116+T116+U116+X116+Y116+AB116+AC116</f>
        <v>0</v>
      </c>
      <c r="F116" s="30" t="n">
        <f aca="false">ROUND(F115+G116-H116-I116,2)</f>
        <v>0</v>
      </c>
      <c r="G116" s="30" t="n">
        <f aca="false">ROUND(F115*$E$18/12,2)</f>
        <v>0</v>
      </c>
      <c r="H116" s="30" t="n">
        <f aca="false">MIN($D$18,F115+G116)</f>
        <v>0</v>
      </c>
      <c r="I116" s="30" t="n">
        <f aca="false">MAX(0,MIN($C$14-(H116+L116+P116+T116+X116+AB116)-0,F115+G116-H116))</f>
        <v>0</v>
      </c>
      <c r="J116" s="30" t="n">
        <f aca="false">ROUND(J115+K116-L116-M116,2)</f>
        <v>0</v>
      </c>
      <c r="K116" s="30" t="n">
        <f aca="false">ROUND(J115*$E$19/12,2)</f>
        <v>0</v>
      </c>
      <c r="L116" s="30" t="n">
        <f aca="false">MIN($D$19,J115+K116)</f>
        <v>0</v>
      </c>
      <c r="M116" s="30" t="n">
        <f aca="false">MAX(0,MIN($C$14-(H116+L116+P116+T116+X116+AB116)-(I116),J115+K116-L116))</f>
        <v>0</v>
      </c>
      <c r="N116" s="30" t="n">
        <f aca="false">ROUND(N115+O116-P116-Q116,2)</f>
        <v>0</v>
      </c>
      <c r="O116" s="30" t="n">
        <f aca="false">ROUND(N115*$E$20/12,2)</f>
        <v>0</v>
      </c>
      <c r="P116" s="30" t="n">
        <f aca="false">MIN($D$20,N115+O116)</f>
        <v>0</v>
      </c>
      <c r="Q116" s="30" t="n">
        <f aca="false">MAX(0,MIN($C$14-(H116+L116+P116+T116+X116+AB116)-(I116+M116),N115+O116-P116))</f>
        <v>0</v>
      </c>
      <c r="R116" s="30" t="n">
        <f aca="false">ROUND(R115+S116-T116-U116,2)</f>
        <v>0</v>
      </c>
      <c r="S116" s="30" t="n">
        <f aca="false">ROUND(R115*$E$21/12,2)</f>
        <v>0</v>
      </c>
      <c r="T116" s="30" t="n">
        <f aca="false">MIN($D$21,R115+S116)</f>
        <v>0</v>
      </c>
      <c r="U116" s="30" t="n">
        <f aca="false">MAX(0,MIN($C$14-(H116+L116+P116+T116+X116+AB116)-(I116+M116+Q116),R115+S116-T116))</f>
        <v>0</v>
      </c>
      <c r="V116" s="30" t="n">
        <f aca="false">ROUND(V115+W116-X116-Y116,2)</f>
        <v>0</v>
      </c>
      <c r="W116" s="30" t="n">
        <f aca="false">ROUND(V115*$E$22/12,2)</f>
        <v>0</v>
      </c>
      <c r="X116" s="30" t="n">
        <f aca="false">MIN($D$22,V115+W116)</f>
        <v>0</v>
      </c>
      <c r="Y116" s="30" t="n">
        <f aca="false">MAX(0,MIN($C$14-(H116+L116+P116+T116+X116+AB116)-(I116+M116+Q116+U116),V115+W116-X116))</f>
        <v>0</v>
      </c>
      <c r="Z116" s="30" t="n">
        <f aca="false">ROUND(Z115+AA116-AB116-AC116,2)</f>
        <v>0</v>
      </c>
      <c r="AA116" s="30" t="n">
        <f aca="false">ROUND(Z115*$E$23/12,2)</f>
        <v>0</v>
      </c>
      <c r="AB116" s="30" t="n">
        <f aca="false">MIN($D$23,Z115+AA116)</f>
        <v>0</v>
      </c>
      <c r="AC116" s="30" t="n">
        <f aca="false">MAX(0,MIN($C$14-(H116+L116+P116+T116+X116+AB116)-(I116+M116+Q116+U116+Y116),Z115+AA116-AB116))</f>
        <v>0</v>
      </c>
    </row>
    <row r="117" customFormat="false" ht="15" hidden="false" customHeight="false" outlineLevel="0" collapsed="false">
      <c r="A117" s="29" t="n">
        <v>77</v>
      </c>
      <c r="B117" s="30" t="n">
        <f aca="false">F117+J117+N117+R117+V117+Z117</f>
        <v>0</v>
      </c>
      <c r="C117" s="30" t="n">
        <f aca="false">$C$14-E117</f>
        <v>8050</v>
      </c>
      <c r="D117" s="30" t="n">
        <f aca="false">G117+K117+O117+S117+W117+AA117</f>
        <v>0</v>
      </c>
      <c r="E117" s="30" t="n">
        <f aca="false">H117+I117+L117+M117+P117+Q117+T117+U117+X117+Y117+AB117+AC117</f>
        <v>0</v>
      </c>
      <c r="F117" s="30" t="n">
        <f aca="false">ROUND(F116+G117-H117-I117,2)</f>
        <v>0</v>
      </c>
      <c r="G117" s="30" t="n">
        <f aca="false">ROUND(F116*$E$18/12,2)</f>
        <v>0</v>
      </c>
      <c r="H117" s="30" t="n">
        <f aca="false">MIN($D$18,F116+G117)</f>
        <v>0</v>
      </c>
      <c r="I117" s="30" t="n">
        <f aca="false">MAX(0,MIN($C$14-(H117+L117+P117+T117+X117+AB117)-0,F116+G117-H117))</f>
        <v>0</v>
      </c>
      <c r="J117" s="30" t="n">
        <f aca="false">ROUND(J116+K117-L117-M117,2)</f>
        <v>0</v>
      </c>
      <c r="K117" s="30" t="n">
        <f aca="false">ROUND(J116*$E$19/12,2)</f>
        <v>0</v>
      </c>
      <c r="L117" s="30" t="n">
        <f aca="false">MIN($D$19,J116+K117)</f>
        <v>0</v>
      </c>
      <c r="M117" s="30" t="n">
        <f aca="false">MAX(0,MIN($C$14-(H117+L117+P117+T117+X117+AB117)-(I117),J116+K117-L117))</f>
        <v>0</v>
      </c>
      <c r="N117" s="30" t="n">
        <f aca="false">ROUND(N116+O117-P117-Q117,2)</f>
        <v>0</v>
      </c>
      <c r="O117" s="30" t="n">
        <f aca="false">ROUND(N116*$E$20/12,2)</f>
        <v>0</v>
      </c>
      <c r="P117" s="30" t="n">
        <f aca="false">MIN($D$20,N116+O117)</f>
        <v>0</v>
      </c>
      <c r="Q117" s="30" t="n">
        <f aca="false">MAX(0,MIN($C$14-(H117+L117+P117+T117+X117+AB117)-(I117+M117),N116+O117-P117))</f>
        <v>0</v>
      </c>
      <c r="R117" s="30" t="n">
        <f aca="false">ROUND(R116+S117-T117-U117,2)</f>
        <v>0</v>
      </c>
      <c r="S117" s="30" t="n">
        <f aca="false">ROUND(R116*$E$21/12,2)</f>
        <v>0</v>
      </c>
      <c r="T117" s="30" t="n">
        <f aca="false">MIN($D$21,R116+S117)</f>
        <v>0</v>
      </c>
      <c r="U117" s="30" t="n">
        <f aca="false">MAX(0,MIN($C$14-(H117+L117+P117+T117+X117+AB117)-(I117+M117+Q117),R116+S117-T117))</f>
        <v>0</v>
      </c>
      <c r="V117" s="30" t="n">
        <f aca="false">ROUND(V116+W117-X117-Y117,2)</f>
        <v>0</v>
      </c>
      <c r="W117" s="30" t="n">
        <f aca="false">ROUND(V116*$E$22/12,2)</f>
        <v>0</v>
      </c>
      <c r="X117" s="30" t="n">
        <f aca="false">MIN($D$22,V116+W117)</f>
        <v>0</v>
      </c>
      <c r="Y117" s="30" t="n">
        <f aca="false">MAX(0,MIN($C$14-(H117+L117+P117+T117+X117+AB117)-(I117+M117+Q117+U117),V116+W117-X117))</f>
        <v>0</v>
      </c>
      <c r="Z117" s="30" t="n">
        <f aca="false">ROUND(Z116+AA117-AB117-AC117,2)</f>
        <v>0</v>
      </c>
      <c r="AA117" s="30" t="n">
        <f aca="false">ROUND(Z116*$E$23/12,2)</f>
        <v>0</v>
      </c>
      <c r="AB117" s="30" t="n">
        <f aca="false">MIN($D$23,Z116+AA117)</f>
        <v>0</v>
      </c>
      <c r="AC117" s="30" t="n">
        <f aca="false">MAX(0,MIN($C$14-(H117+L117+P117+T117+X117+AB117)-(I117+M117+Q117+U117+Y117),Z116+AA117-AB117))</f>
        <v>0</v>
      </c>
    </row>
    <row r="118" customFormat="false" ht="15" hidden="false" customHeight="false" outlineLevel="0" collapsed="false">
      <c r="A118" s="29" t="n">
        <v>78</v>
      </c>
      <c r="B118" s="30" t="n">
        <f aca="false">F118+J118+N118+R118+V118+Z118</f>
        <v>0</v>
      </c>
      <c r="C118" s="30" t="n">
        <f aca="false">$C$14-E118</f>
        <v>8050</v>
      </c>
      <c r="D118" s="30" t="n">
        <f aca="false">G118+K118+O118+S118+W118+AA118</f>
        <v>0</v>
      </c>
      <c r="E118" s="30" t="n">
        <f aca="false">H118+I118+L118+M118+P118+Q118+T118+U118+X118+Y118+AB118+AC118</f>
        <v>0</v>
      </c>
      <c r="F118" s="30" t="n">
        <f aca="false">ROUND(F117+G118-H118-I118,2)</f>
        <v>0</v>
      </c>
      <c r="G118" s="30" t="n">
        <f aca="false">ROUND(F117*$E$18/12,2)</f>
        <v>0</v>
      </c>
      <c r="H118" s="30" t="n">
        <f aca="false">MIN($D$18,F117+G118)</f>
        <v>0</v>
      </c>
      <c r="I118" s="30" t="n">
        <f aca="false">MAX(0,MIN($C$14-(H118+L118+P118+T118+X118+AB118)-0,F117+G118-H118))</f>
        <v>0</v>
      </c>
      <c r="J118" s="30" t="n">
        <f aca="false">ROUND(J117+K118-L118-M118,2)</f>
        <v>0</v>
      </c>
      <c r="K118" s="30" t="n">
        <f aca="false">ROUND(J117*$E$19/12,2)</f>
        <v>0</v>
      </c>
      <c r="L118" s="30" t="n">
        <f aca="false">MIN($D$19,J117+K118)</f>
        <v>0</v>
      </c>
      <c r="M118" s="30" t="n">
        <f aca="false">MAX(0,MIN($C$14-(H118+L118+P118+T118+X118+AB118)-(I118),J117+K118-L118))</f>
        <v>0</v>
      </c>
      <c r="N118" s="30" t="n">
        <f aca="false">ROUND(N117+O118-P118-Q118,2)</f>
        <v>0</v>
      </c>
      <c r="O118" s="30" t="n">
        <f aca="false">ROUND(N117*$E$20/12,2)</f>
        <v>0</v>
      </c>
      <c r="P118" s="30" t="n">
        <f aca="false">MIN($D$20,N117+O118)</f>
        <v>0</v>
      </c>
      <c r="Q118" s="30" t="n">
        <f aca="false">MAX(0,MIN($C$14-(H118+L118+P118+T118+X118+AB118)-(I118+M118),N117+O118-P118))</f>
        <v>0</v>
      </c>
      <c r="R118" s="30" t="n">
        <f aca="false">ROUND(R117+S118-T118-U118,2)</f>
        <v>0</v>
      </c>
      <c r="S118" s="30" t="n">
        <f aca="false">ROUND(R117*$E$21/12,2)</f>
        <v>0</v>
      </c>
      <c r="T118" s="30" t="n">
        <f aca="false">MIN($D$21,R117+S118)</f>
        <v>0</v>
      </c>
      <c r="U118" s="30" t="n">
        <f aca="false">MAX(0,MIN($C$14-(H118+L118+P118+T118+X118+AB118)-(I118+M118+Q118),R117+S118-T118))</f>
        <v>0</v>
      </c>
      <c r="V118" s="30" t="n">
        <f aca="false">ROUND(V117+W118-X118-Y118,2)</f>
        <v>0</v>
      </c>
      <c r="W118" s="30" t="n">
        <f aca="false">ROUND(V117*$E$22/12,2)</f>
        <v>0</v>
      </c>
      <c r="X118" s="30" t="n">
        <f aca="false">MIN($D$22,V117+W118)</f>
        <v>0</v>
      </c>
      <c r="Y118" s="30" t="n">
        <f aca="false">MAX(0,MIN($C$14-(H118+L118+P118+T118+X118+AB118)-(I118+M118+Q118+U118),V117+W118-X118))</f>
        <v>0</v>
      </c>
      <c r="Z118" s="30" t="n">
        <f aca="false">ROUND(Z117+AA118-AB118-AC118,2)</f>
        <v>0</v>
      </c>
      <c r="AA118" s="30" t="n">
        <f aca="false">ROUND(Z117*$E$23/12,2)</f>
        <v>0</v>
      </c>
      <c r="AB118" s="30" t="n">
        <f aca="false">MIN($D$23,Z117+AA118)</f>
        <v>0</v>
      </c>
      <c r="AC118" s="30" t="n">
        <f aca="false">MAX(0,MIN($C$14-(H118+L118+P118+T118+X118+AB118)-(I118+M118+Q118+U118+Y118),Z117+AA118-AB118))</f>
        <v>0</v>
      </c>
    </row>
    <row r="119" customFormat="false" ht="15" hidden="false" customHeight="false" outlineLevel="0" collapsed="false">
      <c r="A119" s="29" t="n">
        <v>79</v>
      </c>
      <c r="B119" s="30" t="n">
        <f aca="false">F119+J119+N119+R119+V119+Z119</f>
        <v>0</v>
      </c>
      <c r="C119" s="30" t="n">
        <f aca="false">$C$14-E119</f>
        <v>8050</v>
      </c>
      <c r="D119" s="30" t="n">
        <f aca="false">G119+K119+O119+S119+W119+AA119</f>
        <v>0</v>
      </c>
      <c r="E119" s="30" t="n">
        <f aca="false">H119+I119+L119+M119+P119+Q119+T119+U119+X119+Y119+AB119+AC119</f>
        <v>0</v>
      </c>
      <c r="F119" s="30" t="n">
        <f aca="false">ROUND(F118+G119-H119-I119,2)</f>
        <v>0</v>
      </c>
      <c r="G119" s="30" t="n">
        <f aca="false">ROUND(F118*$E$18/12,2)</f>
        <v>0</v>
      </c>
      <c r="H119" s="30" t="n">
        <f aca="false">MIN($D$18,F118+G119)</f>
        <v>0</v>
      </c>
      <c r="I119" s="30" t="n">
        <f aca="false">MAX(0,MIN($C$14-(H119+L119+P119+T119+X119+AB119)-0,F118+G119-H119))</f>
        <v>0</v>
      </c>
      <c r="J119" s="30" t="n">
        <f aca="false">ROUND(J118+K119-L119-M119,2)</f>
        <v>0</v>
      </c>
      <c r="K119" s="30" t="n">
        <f aca="false">ROUND(J118*$E$19/12,2)</f>
        <v>0</v>
      </c>
      <c r="L119" s="30" t="n">
        <f aca="false">MIN($D$19,J118+K119)</f>
        <v>0</v>
      </c>
      <c r="M119" s="30" t="n">
        <f aca="false">MAX(0,MIN($C$14-(H119+L119+P119+T119+X119+AB119)-(I119),J118+K119-L119))</f>
        <v>0</v>
      </c>
      <c r="N119" s="30" t="n">
        <f aca="false">ROUND(N118+O119-P119-Q119,2)</f>
        <v>0</v>
      </c>
      <c r="O119" s="30" t="n">
        <f aca="false">ROUND(N118*$E$20/12,2)</f>
        <v>0</v>
      </c>
      <c r="P119" s="30" t="n">
        <f aca="false">MIN($D$20,N118+O119)</f>
        <v>0</v>
      </c>
      <c r="Q119" s="30" t="n">
        <f aca="false">MAX(0,MIN($C$14-(H119+L119+P119+T119+X119+AB119)-(I119+M119),N118+O119-P119))</f>
        <v>0</v>
      </c>
      <c r="R119" s="30" t="n">
        <f aca="false">ROUND(R118+S119-T119-U119,2)</f>
        <v>0</v>
      </c>
      <c r="S119" s="30" t="n">
        <f aca="false">ROUND(R118*$E$21/12,2)</f>
        <v>0</v>
      </c>
      <c r="T119" s="30" t="n">
        <f aca="false">MIN($D$21,R118+S119)</f>
        <v>0</v>
      </c>
      <c r="U119" s="30" t="n">
        <f aca="false">MAX(0,MIN($C$14-(H119+L119+P119+T119+X119+AB119)-(I119+M119+Q119),R118+S119-T119))</f>
        <v>0</v>
      </c>
      <c r="V119" s="30" t="n">
        <f aca="false">ROUND(V118+W119-X119-Y119,2)</f>
        <v>0</v>
      </c>
      <c r="W119" s="30" t="n">
        <f aca="false">ROUND(V118*$E$22/12,2)</f>
        <v>0</v>
      </c>
      <c r="X119" s="30" t="n">
        <f aca="false">MIN($D$22,V118+W119)</f>
        <v>0</v>
      </c>
      <c r="Y119" s="30" t="n">
        <f aca="false">MAX(0,MIN($C$14-(H119+L119+P119+T119+X119+AB119)-(I119+M119+Q119+U119),V118+W119-X119))</f>
        <v>0</v>
      </c>
      <c r="Z119" s="30" t="n">
        <f aca="false">ROUND(Z118+AA119-AB119-AC119,2)</f>
        <v>0</v>
      </c>
      <c r="AA119" s="30" t="n">
        <f aca="false">ROUND(Z118*$E$23/12,2)</f>
        <v>0</v>
      </c>
      <c r="AB119" s="30" t="n">
        <f aca="false">MIN($D$23,Z118+AA119)</f>
        <v>0</v>
      </c>
      <c r="AC119" s="30" t="n">
        <f aca="false">MAX(0,MIN($C$14-(H119+L119+P119+T119+X119+AB119)-(I119+M119+Q119+U119+Y119),Z118+AA119-AB119))</f>
        <v>0</v>
      </c>
    </row>
    <row r="120" customFormat="false" ht="15" hidden="false" customHeight="false" outlineLevel="0" collapsed="false">
      <c r="A120" s="29" t="n">
        <v>80</v>
      </c>
      <c r="B120" s="30" t="n">
        <f aca="false">F120+J120+N120+R120+V120+Z120</f>
        <v>0</v>
      </c>
      <c r="C120" s="30" t="n">
        <f aca="false">$C$14-E120</f>
        <v>8050</v>
      </c>
      <c r="D120" s="30" t="n">
        <f aca="false">G120+K120+O120+S120+W120+AA120</f>
        <v>0</v>
      </c>
      <c r="E120" s="30" t="n">
        <f aca="false">H120+I120+L120+M120+P120+Q120+T120+U120+X120+Y120+AB120+AC120</f>
        <v>0</v>
      </c>
      <c r="F120" s="30" t="n">
        <f aca="false">ROUND(F119+G120-H120-I120,2)</f>
        <v>0</v>
      </c>
      <c r="G120" s="30" t="n">
        <f aca="false">ROUND(F119*$E$18/12,2)</f>
        <v>0</v>
      </c>
      <c r="H120" s="30" t="n">
        <f aca="false">MIN($D$18,F119+G120)</f>
        <v>0</v>
      </c>
      <c r="I120" s="30" t="n">
        <f aca="false">MAX(0,MIN($C$14-(H120+L120+P120+T120+X120+AB120)-0,F119+G120-H120))</f>
        <v>0</v>
      </c>
      <c r="J120" s="30" t="n">
        <f aca="false">ROUND(J119+K120-L120-M120,2)</f>
        <v>0</v>
      </c>
      <c r="K120" s="30" t="n">
        <f aca="false">ROUND(J119*$E$19/12,2)</f>
        <v>0</v>
      </c>
      <c r="L120" s="30" t="n">
        <f aca="false">MIN($D$19,J119+K120)</f>
        <v>0</v>
      </c>
      <c r="M120" s="30" t="n">
        <f aca="false">MAX(0,MIN($C$14-(H120+L120+P120+T120+X120+AB120)-(I120),J119+K120-L120))</f>
        <v>0</v>
      </c>
      <c r="N120" s="30" t="n">
        <f aca="false">ROUND(N119+O120-P120-Q120,2)</f>
        <v>0</v>
      </c>
      <c r="O120" s="30" t="n">
        <f aca="false">ROUND(N119*$E$20/12,2)</f>
        <v>0</v>
      </c>
      <c r="P120" s="30" t="n">
        <f aca="false">MIN($D$20,N119+O120)</f>
        <v>0</v>
      </c>
      <c r="Q120" s="30" t="n">
        <f aca="false">MAX(0,MIN($C$14-(H120+L120+P120+T120+X120+AB120)-(I120+M120),N119+O120-P120))</f>
        <v>0</v>
      </c>
      <c r="R120" s="30" t="n">
        <f aca="false">ROUND(R119+S120-T120-U120,2)</f>
        <v>0</v>
      </c>
      <c r="S120" s="30" t="n">
        <f aca="false">ROUND(R119*$E$21/12,2)</f>
        <v>0</v>
      </c>
      <c r="T120" s="30" t="n">
        <f aca="false">MIN($D$21,R119+S120)</f>
        <v>0</v>
      </c>
      <c r="U120" s="30" t="n">
        <f aca="false">MAX(0,MIN($C$14-(H120+L120+P120+T120+X120+AB120)-(I120+M120+Q120),R119+S120-T120))</f>
        <v>0</v>
      </c>
      <c r="V120" s="30" t="n">
        <f aca="false">ROUND(V119+W120-X120-Y120,2)</f>
        <v>0</v>
      </c>
      <c r="W120" s="30" t="n">
        <f aca="false">ROUND(V119*$E$22/12,2)</f>
        <v>0</v>
      </c>
      <c r="X120" s="30" t="n">
        <f aca="false">MIN($D$22,V119+W120)</f>
        <v>0</v>
      </c>
      <c r="Y120" s="30" t="n">
        <f aca="false">MAX(0,MIN($C$14-(H120+L120+P120+T120+X120+AB120)-(I120+M120+Q120+U120),V119+W120-X120))</f>
        <v>0</v>
      </c>
      <c r="Z120" s="30" t="n">
        <f aca="false">ROUND(Z119+AA120-AB120-AC120,2)</f>
        <v>0</v>
      </c>
      <c r="AA120" s="30" t="n">
        <f aca="false">ROUND(Z119*$E$23/12,2)</f>
        <v>0</v>
      </c>
      <c r="AB120" s="30" t="n">
        <f aca="false">MIN($D$23,Z119+AA120)</f>
        <v>0</v>
      </c>
      <c r="AC120" s="30" t="n">
        <f aca="false">MAX(0,MIN($C$14-(H120+L120+P120+T120+X120+AB120)-(I120+M120+Q120+U120+Y120),Z119+AA120-AB120))</f>
        <v>0</v>
      </c>
    </row>
    <row r="121" customFormat="false" ht="15" hidden="false" customHeight="false" outlineLevel="0" collapsed="false">
      <c r="A121" s="29" t="n">
        <v>81</v>
      </c>
      <c r="B121" s="30" t="n">
        <f aca="false">F121+J121+N121+R121+V121+Z121</f>
        <v>0</v>
      </c>
      <c r="C121" s="30" t="n">
        <f aca="false">$C$14-E121</f>
        <v>8050</v>
      </c>
      <c r="D121" s="30" t="n">
        <f aca="false">G121+K121+O121+S121+W121+AA121</f>
        <v>0</v>
      </c>
      <c r="E121" s="30" t="n">
        <f aca="false">H121+I121+L121+M121+P121+Q121+T121+U121+X121+Y121+AB121+AC121</f>
        <v>0</v>
      </c>
      <c r="F121" s="30" t="n">
        <f aca="false">ROUND(F120+G121-H121-I121,2)</f>
        <v>0</v>
      </c>
      <c r="G121" s="30" t="n">
        <f aca="false">ROUND(F120*$E$18/12,2)</f>
        <v>0</v>
      </c>
      <c r="H121" s="30" t="n">
        <f aca="false">MIN($D$18,F120+G121)</f>
        <v>0</v>
      </c>
      <c r="I121" s="30" t="n">
        <f aca="false">MAX(0,MIN($C$14-(H121+L121+P121+T121+X121+AB121)-0,F120+G121-H121))</f>
        <v>0</v>
      </c>
      <c r="J121" s="30" t="n">
        <f aca="false">ROUND(J120+K121-L121-M121,2)</f>
        <v>0</v>
      </c>
      <c r="K121" s="30" t="n">
        <f aca="false">ROUND(J120*$E$19/12,2)</f>
        <v>0</v>
      </c>
      <c r="L121" s="30" t="n">
        <f aca="false">MIN($D$19,J120+K121)</f>
        <v>0</v>
      </c>
      <c r="M121" s="30" t="n">
        <f aca="false">MAX(0,MIN($C$14-(H121+L121+P121+T121+X121+AB121)-(I121),J120+K121-L121))</f>
        <v>0</v>
      </c>
      <c r="N121" s="30" t="n">
        <f aca="false">ROUND(N120+O121-P121-Q121,2)</f>
        <v>0</v>
      </c>
      <c r="O121" s="30" t="n">
        <f aca="false">ROUND(N120*$E$20/12,2)</f>
        <v>0</v>
      </c>
      <c r="P121" s="30" t="n">
        <f aca="false">MIN($D$20,N120+O121)</f>
        <v>0</v>
      </c>
      <c r="Q121" s="30" t="n">
        <f aca="false">MAX(0,MIN($C$14-(H121+L121+P121+T121+X121+AB121)-(I121+M121),N120+O121-P121))</f>
        <v>0</v>
      </c>
      <c r="R121" s="30" t="n">
        <f aca="false">ROUND(R120+S121-T121-U121,2)</f>
        <v>0</v>
      </c>
      <c r="S121" s="30" t="n">
        <f aca="false">ROUND(R120*$E$21/12,2)</f>
        <v>0</v>
      </c>
      <c r="T121" s="30" t="n">
        <f aca="false">MIN($D$21,R120+S121)</f>
        <v>0</v>
      </c>
      <c r="U121" s="30" t="n">
        <f aca="false">MAX(0,MIN($C$14-(H121+L121+P121+T121+X121+AB121)-(I121+M121+Q121),R120+S121-T121))</f>
        <v>0</v>
      </c>
      <c r="V121" s="30" t="n">
        <f aca="false">ROUND(V120+W121-X121-Y121,2)</f>
        <v>0</v>
      </c>
      <c r="W121" s="30" t="n">
        <f aca="false">ROUND(V120*$E$22/12,2)</f>
        <v>0</v>
      </c>
      <c r="X121" s="30" t="n">
        <f aca="false">MIN($D$22,V120+W121)</f>
        <v>0</v>
      </c>
      <c r="Y121" s="30" t="n">
        <f aca="false">MAX(0,MIN($C$14-(H121+L121+P121+T121+X121+AB121)-(I121+M121+Q121+U121),V120+W121-X121))</f>
        <v>0</v>
      </c>
      <c r="Z121" s="30" t="n">
        <f aca="false">ROUND(Z120+AA121-AB121-AC121,2)</f>
        <v>0</v>
      </c>
      <c r="AA121" s="30" t="n">
        <f aca="false">ROUND(Z120*$E$23/12,2)</f>
        <v>0</v>
      </c>
      <c r="AB121" s="30" t="n">
        <f aca="false">MIN($D$23,Z120+AA121)</f>
        <v>0</v>
      </c>
      <c r="AC121" s="30" t="n">
        <f aca="false">MAX(0,MIN($C$14-(H121+L121+P121+T121+X121+AB121)-(I121+M121+Q121+U121+Y121),Z120+AA121-AB121))</f>
        <v>0</v>
      </c>
    </row>
    <row r="122" customFormat="false" ht="15" hidden="false" customHeight="false" outlineLevel="0" collapsed="false">
      <c r="A122" s="29" t="n">
        <v>82</v>
      </c>
      <c r="B122" s="30" t="n">
        <f aca="false">F122+J122+N122+R122+V122+Z122</f>
        <v>0</v>
      </c>
      <c r="C122" s="30" t="n">
        <f aca="false">$C$14-E122</f>
        <v>8050</v>
      </c>
      <c r="D122" s="30" t="n">
        <f aca="false">G122+K122+O122+S122+W122+AA122</f>
        <v>0</v>
      </c>
      <c r="E122" s="30" t="n">
        <f aca="false">H122+I122+L122+M122+P122+Q122+T122+U122+X122+Y122+AB122+AC122</f>
        <v>0</v>
      </c>
      <c r="F122" s="30" t="n">
        <f aca="false">ROUND(F121+G122-H122-I122,2)</f>
        <v>0</v>
      </c>
      <c r="G122" s="30" t="n">
        <f aca="false">ROUND(F121*$E$18/12,2)</f>
        <v>0</v>
      </c>
      <c r="H122" s="30" t="n">
        <f aca="false">MIN($D$18,F121+G122)</f>
        <v>0</v>
      </c>
      <c r="I122" s="30" t="n">
        <f aca="false">MAX(0,MIN($C$14-(H122+L122+P122+T122+X122+AB122)-0,F121+G122-H122))</f>
        <v>0</v>
      </c>
      <c r="J122" s="30" t="n">
        <f aca="false">ROUND(J121+K122-L122-M122,2)</f>
        <v>0</v>
      </c>
      <c r="K122" s="30" t="n">
        <f aca="false">ROUND(J121*$E$19/12,2)</f>
        <v>0</v>
      </c>
      <c r="L122" s="30" t="n">
        <f aca="false">MIN($D$19,J121+K122)</f>
        <v>0</v>
      </c>
      <c r="M122" s="30" t="n">
        <f aca="false">MAX(0,MIN($C$14-(H122+L122+P122+T122+X122+AB122)-(I122),J121+K122-L122))</f>
        <v>0</v>
      </c>
      <c r="N122" s="30" t="n">
        <f aca="false">ROUND(N121+O122-P122-Q122,2)</f>
        <v>0</v>
      </c>
      <c r="O122" s="30" t="n">
        <f aca="false">ROUND(N121*$E$20/12,2)</f>
        <v>0</v>
      </c>
      <c r="P122" s="30" t="n">
        <f aca="false">MIN($D$20,N121+O122)</f>
        <v>0</v>
      </c>
      <c r="Q122" s="30" t="n">
        <f aca="false">MAX(0,MIN($C$14-(H122+L122+P122+T122+X122+AB122)-(I122+M122),N121+O122-P122))</f>
        <v>0</v>
      </c>
      <c r="R122" s="30" t="n">
        <f aca="false">ROUND(R121+S122-T122-U122,2)</f>
        <v>0</v>
      </c>
      <c r="S122" s="30" t="n">
        <f aca="false">ROUND(R121*$E$21/12,2)</f>
        <v>0</v>
      </c>
      <c r="T122" s="30" t="n">
        <f aca="false">MIN($D$21,R121+S122)</f>
        <v>0</v>
      </c>
      <c r="U122" s="30" t="n">
        <f aca="false">MAX(0,MIN($C$14-(H122+L122+P122+T122+X122+AB122)-(I122+M122+Q122),R121+S122-T122))</f>
        <v>0</v>
      </c>
      <c r="V122" s="30" t="n">
        <f aca="false">ROUND(V121+W122-X122-Y122,2)</f>
        <v>0</v>
      </c>
      <c r="W122" s="30" t="n">
        <f aca="false">ROUND(V121*$E$22/12,2)</f>
        <v>0</v>
      </c>
      <c r="X122" s="30" t="n">
        <f aca="false">MIN($D$22,V121+W122)</f>
        <v>0</v>
      </c>
      <c r="Y122" s="30" t="n">
        <f aca="false">MAX(0,MIN($C$14-(H122+L122+P122+T122+X122+AB122)-(I122+M122+Q122+U122),V121+W122-X122))</f>
        <v>0</v>
      </c>
      <c r="Z122" s="30" t="n">
        <f aca="false">ROUND(Z121+AA122-AB122-AC122,2)</f>
        <v>0</v>
      </c>
      <c r="AA122" s="30" t="n">
        <f aca="false">ROUND(Z121*$E$23/12,2)</f>
        <v>0</v>
      </c>
      <c r="AB122" s="30" t="n">
        <f aca="false">MIN($D$23,Z121+AA122)</f>
        <v>0</v>
      </c>
      <c r="AC122" s="30" t="n">
        <f aca="false">MAX(0,MIN($C$14-(H122+L122+P122+T122+X122+AB122)-(I122+M122+Q122+U122+Y122),Z121+AA122-AB122))</f>
        <v>0</v>
      </c>
    </row>
    <row r="123" customFormat="false" ht="15" hidden="false" customHeight="false" outlineLevel="0" collapsed="false">
      <c r="A123" s="29" t="n">
        <v>83</v>
      </c>
      <c r="B123" s="30" t="n">
        <f aca="false">F123+J123+N123+R123+V123+Z123</f>
        <v>0</v>
      </c>
      <c r="C123" s="30" t="n">
        <f aca="false">$C$14-E123</f>
        <v>8050</v>
      </c>
      <c r="D123" s="30" t="n">
        <f aca="false">G123+K123+O123+S123+W123+AA123</f>
        <v>0</v>
      </c>
      <c r="E123" s="30" t="n">
        <f aca="false">H123+I123+L123+M123+P123+Q123+T123+U123+X123+Y123+AB123+AC123</f>
        <v>0</v>
      </c>
      <c r="F123" s="30" t="n">
        <f aca="false">ROUND(F122+G123-H123-I123,2)</f>
        <v>0</v>
      </c>
      <c r="G123" s="30" t="n">
        <f aca="false">ROUND(F122*$E$18/12,2)</f>
        <v>0</v>
      </c>
      <c r="H123" s="30" t="n">
        <f aca="false">MIN($D$18,F122+G123)</f>
        <v>0</v>
      </c>
      <c r="I123" s="30" t="n">
        <f aca="false">MAX(0,MIN($C$14-(H123+L123+P123+T123+X123+AB123)-0,F122+G123-H123))</f>
        <v>0</v>
      </c>
      <c r="J123" s="30" t="n">
        <f aca="false">ROUND(J122+K123-L123-M123,2)</f>
        <v>0</v>
      </c>
      <c r="K123" s="30" t="n">
        <f aca="false">ROUND(J122*$E$19/12,2)</f>
        <v>0</v>
      </c>
      <c r="L123" s="30" t="n">
        <f aca="false">MIN($D$19,J122+K123)</f>
        <v>0</v>
      </c>
      <c r="M123" s="30" t="n">
        <f aca="false">MAX(0,MIN($C$14-(H123+L123+P123+T123+X123+AB123)-(I123),J122+K123-L123))</f>
        <v>0</v>
      </c>
      <c r="N123" s="30" t="n">
        <f aca="false">ROUND(N122+O123-P123-Q123,2)</f>
        <v>0</v>
      </c>
      <c r="O123" s="30" t="n">
        <f aca="false">ROUND(N122*$E$20/12,2)</f>
        <v>0</v>
      </c>
      <c r="P123" s="30" t="n">
        <f aca="false">MIN($D$20,N122+O123)</f>
        <v>0</v>
      </c>
      <c r="Q123" s="30" t="n">
        <f aca="false">MAX(0,MIN($C$14-(H123+L123+P123+T123+X123+AB123)-(I123+M123),N122+O123-P123))</f>
        <v>0</v>
      </c>
      <c r="R123" s="30" t="n">
        <f aca="false">ROUND(R122+S123-T123-U123,2)</f>
        <v>0</v>
      </c>
      <c r="S123" s="30" t="n">
        <f aca="false">ROUND(R122*$E$21/12,2)</f>
        <v>0</v>
      </c>
      <c r="T123" s="30" t="n">
        <f aca="false">MIN($D$21,R122+S123)</f>
        <v>0</v>
      </c>
      <c r="U123" s="30" t="n">
        <f aca="false">MAX(0,MIN($C$14-(H123+L123+P123+T123+X123+AB123)-(I123+M123+Q123),R122+S123-T123))</f>
        <v>0</v>
      </c>
      <c r="V123" s="30" t="n">
        <f aca="false">ROUND(V122+W123-X123-Y123,2)</f>
        <v>0</v>
      </c>
      <c r="W123" s="30" t="n">
        <f aca="false">ROUND(V122*$E$22/12,2)</f>
        <v>0</v>
      </c>
      <c r="X123" s="30" t="n">
        <f aca="false">MIN($D$22,V122+W123)</f>
        <v>0</v>
      </c>
      <c r="Y123" s="30" t="n">
        <f aca="false">MAX(0,MIN($C$14-(H123+L123+P123+T123+X123+AB123)-(I123+M123+Q123+U123),V122+W123-X123))</f>
        <v>0</v>
      </c>
      <c r="Z123" s="30" t="n">
        <f aca="false">ROUND(Z122+AA123-AB123-AC123,2)</f>
        <v>0</v>
      </c>
      <c r="AA123" s="30" t="n">
        <f aca="false">ROUND(Z122*$E$23/12,2)</f>
        <v>0</v>
      </c>
      <c r="AB123" s="30" t="n">
        <f aca="false">MIN($D$23,Z122+AA123)</f>
        <v>0</v>
      </c>
      <c r="AC123" s="30" t="n">
        <f aca="false">MAX(0,MIN($C$14-(H123+L123+P123+T123+X123+AB123)-(I123+M123+Q123+U123+Y123),Z122+AA123-AB123))</f>
        <v>0</v>
      </c>
    </row>
    <row r="124" customFormat="false" ht="15" hidden="false" customHeight="false" outlineLevel="0" collapsed="false">
      <c r="A124" s="29" t="n">
        <v>84</v>
      </c>
      <c r="B124" s="30" t="n">
        <f aca="false">F124+J124+N124+R124+V124+Z124</f>
        <v>0</v>
      </c>
      <c r="C124" s="30" t="n">
        <f aca="false">$C$14-E124</f>
        <v>8050</v>
      </c>
      <c r="D124" s="30" t="n">
        <f aca="false">G124+K124+O124+S124+W124+AA124</f>
        <v>0</v>
      </c>
      <c r="E124" s="30" t="n">
        <f aca="false">H124+I124+L124+M124+P124+Q124+T124+U124+X124+Y124+AB124+AC124</f>
        <v>0</v>
      </c>
      <c r="F124" s="30" t="n">
        <f aca="false">ROUND(F123+G124-H124-I124,2)</f>
        <v>0</v>
      </c>
      <c r="G124" s="30" t="n">
        <f aca="false">ROUND(F123*$E$18/12,2)</f>
        <v>0</v>
      </c>
      <c r="H124" s="30" t="n">
        <f aca="false">MIN($D$18,F123+G124)</f>
        <v>0</v>
      </c>
      <c r="I124" s="30" t="n">
        <f aca="false">MAX(0,MIN($C$14-(H124+L124+P124+T124+X124+AB124)-0,F123+G124-H124))</f>
        <v>0</v>
      </c>
      <c r="J124" s="30" t="n">
        <f aca="false">ROUND(J123+K124-L124-M124,2)</f>
        <v>0</v>
      </c>
      <c r="K124" s="30" t="n">
        <f aca="false">ROUND(J123*$E$19/12,2)</f>
        <v>0</v>
      </c>
      <c r="L124" s="30" t="n">
        <f aca="false">MIN($D$19,J123+K124)</f>
        <v>0</v>
      </c>
      <c r="M124" s="30" t="n">
        <f aca="false">MAX(0,MIN($C$14-(H124+L124+P124+T124+X124+AB124)-(I124),J123+K124-L124))</f>
        <v>0</v>
      </c>
      <c r="N124" s="30" t="n">
        <f aca="false">ROUND(N123+O124-P124-Q124,2)</f>
        <v>0</v>
      </c>
      <c r="O124" s="30" t="n">
        <f aca="false">ROUND(N123*$E$20/12,2)</f>
        <v>0</v>
      </c>
      <c r="P124" s="30" t="n">
        <f aca="false">MIN($D$20,N123+O124)</f>
        <v>0</v>
      </c>
      <c r="Q124" s="30" t="n">
        <f aca="false">MAX(0,MIN($C$14-(H124+L124+P124+T124+X124+AB124)-(I124+M124),N123+O124-P124))</f>
        <v>0</v>
      </c>
      <c r="R124" s="30" t="n">
        <f aca="false">ROUND(R123+S124-T124-U124,2)</f>
        <v>0</v>
      </c>
      <c r="S124" s="30" t="n">
        <f aca="false">ROUND(R123*$E$21/12,2)</f>
        <v>0</v>
      </c>
      <c r="T124" s="30" t="n">
        <f aca="false">MIN($D$21,R123+S124)</f>
        <v>0</v>
      </c>
      <c r="U124" s="30" t="n">
        <f aca="false">MAX(0,MIN($C$14-(H124+L124+P124+T124+X124+AB124)-(I124+M124+Q124),R123+S124-T124))</f>
        <v>0</v>
      </c>
      <c r="V124" s="30" t="n">
        <f aca="false">ROUND(V123+W124-X124-Y124,2)</f>
        <v>0</v>
      </c>
      <c r="W124" s="30" t="n">
        <f aca="false">ROUND(V123*$E$22/12,2)</f>
        <v>0</v>
      </c>
      <c r="X124" s="30" t="n">
        <f aca="false">MIN($D$22,V123+W124)</f>
        <v>0</v>
      </c>
      <c r="Y124" s="30" t="n">
        <f aca="false">MAX(0,MIN($C$14-(H124+L124+P124+T124+X124+AB124)-(I124+M124+Q124+U124),V123+W124-X124))</f>
        <v>0</v>
      </c>
      <c r="Z124" s="30" t="n">
        <f aca="false">ROUND(Z123+AA124-AB124-AC124,2)</f>
        <v>0</v>
      </c>
      <c r="AA124" s="30" t="n">
        <f aca="false">ROUND(Z123*$E$23/12,2)</f>
        <v>0</v>
      </c>
      <c r="AB124" s="30" t="n">
        <f aca="false">MIN($D$23,Z123+AA124)</f>
        <v>0</v>
      </c>
      <c r="AC124" s="30" t="n">
        <f aca="false">MAX(0,MIN($C$14-(H124+L124+P124+T124+X124+AB124)-(I124+M124+Q124+U124+Y124),Z123+AA124-AB124))</f>
        <v>0</v>
      </c>
    </row>
    <row r="125" customFormat="false" ht="15" hidden="false" customHeight="false" outlineLevel="0" collapsed="false">
      <c r="A125" s="29" t="n">
        <v>85</v>
      </c>
      <c r="B125" s="30" t="n">
        <f aca="false">F125+J125+N125+R125+V125+Z125</f>
        <v>0</v>
      </c>
      <c r="C125" s="30" t="n">
        <f aca="false">$C$14-E125</f>
        <v>8050</v>
      </c>
      <c r="D125" s="30" t="n">
        <f aca="false">G125+K125+O125+S125+W125+AA125</f>
        <v>0</v>
      </c>
      <c r="E125" s="30" t="n">
        <f aca="false">H125+I125+L125+M125+P125+Q125+T125+U125+X125+Y125+AB125+AC125</f>
        <v>0</v>
      </c>
      <c r="F125" s="30" t="n">
        <f aca="false">ROUND(F124+G125-H125-I125,2)</f>
        <v>0</v>
      </c>
      <c r="G125" s="30" t="n">
        <f aca="false">ROUND(F124*$E$18/12,2)</f>
        <v>0</v>
      </c>
      <c r="H125" s="30" t="n">
        <f aca="false">MIN($D$18,F124+G125)</f>
        <v>0</v>
      </c>
      <c r="I125" s="30" t="n">
        <f aca="false">MAX(0,MIN($C$14-(H125+L125+P125+T125+X125+AB125)-0,F124+G125-H125))</f>
        <v>0</v>
      </c>
      <c r="J125" s="30" t="n">
        <f aca="false">ROUND(J124+K125-L125-M125,2)</f>
        <v>0</v>
      </c>
      <c r="K125" s="30" t="n">
        <f aca="false">ROUND(J124*$E$19/12,2)</f>
        <v>0</v>
      </c>
      <c r="L125" s="30" t="n">
        <f aca="false">MIN($D$19,J124+K125)</f>
        <v>0</v>
      </c>
      <c r="M125" s="30" t="n">
        <f aca="false">MAX(0,MIN($C$14-(H125+L125+P125+T125+X125+AB125)-(I125),J124+K125-L125))</f>
        <v>0</v>
      </c>
      <c r="N125" s="30" t="n">
        <f aca="false">ROUND(N124+O125-P125-Q125,2)</f>
        <v>0</v>
      </c>
      <c r="O125" s="30" t="n">
        <f aca="false">ROUND(N124*$E$20/12,2)</f>
        <v>0</v>
      </c>
      <c r="P125" s="30" t="n">
        <f aca="false">MIN($D$20,N124+O125)</f>
        <v>0</v>
      </c>
      <c r="Q125" s="30" t="n">
        <f aca="false">MAX(0,MIN($C$14-(H125+L125+P125+T125+X125+AB125)-(I125+M125),N124+O125-P125))</f>
        <v>0</v>
      </c>
      <c r="R125" s="30" t="n">
        <f aca="false">ROUND(R124+S125-T125-U125,2)</f>
        <v>0</v>
      </c>
      <c r="S125" s="30" t="n">
        <f aca="false">ROUND(R124*$E$21/12,2)</f>
        <v>0</v>
      </c>
      <c r="T125" s="30" t="n">
        <f aca="false">MIN($D$21,R124+S125)</f>
        <v>0</v>
      </c>
      <c r="U125" s="30" t="n">
        <f aca="false">MAX(0,MIN($C$14-(H125+L125+P125+T125+X125+AB125)-(I125+M125+Q125),R124+S125-T125))</f>
        <v>0</v>
      </c>
      <c r="V125" s="30" t="n">
        <f aca="false">ROUND(V124+W125-X125-Y125,2)</f>
        <v>0</v>
      </c>
      <c r="W125" s="30" t="n">
        <f aca="false">ROUND(V124*$E$22/12,2)</f>
        <v>0</v>
      </c>
      <c r="X125" s="30" t="n">
        <f aca="false">MIN($D$22,V124+W125)</f>
        <v>0</v>
      </c>
      <c r="Y125" s="30" t="n">
        <f aca="false">MAX(0,MIN($C$14-(H125+L125+P125+T125+X125+AB125)-(I125+M125+Q125+U125),V124+W125-X125))</f>
        <v>0</v>
      </c>
      <c r="Z125" s="30" t="n">
        <f aca="false">ROUND(Z124+AA125-AB125-AC125,2)</f>
        <v>0</v>
      </c>
      <c r="AA125" s="30" t="n">
        <f aca="false">ROUND(Z124*$E$23/12,2)</f>
        <v>0</v>
      </c>
      <c r="AB125" s="30" t="n">
        <f aca="false">MIN($D$23,Z124+AA125)</f>
        <v>0</v>
      </c>
      <c r="AC125" s="30" t="n">
        <f aca="false">MAX(0,MIN($C$14-(H125+L125+P125+T125+X125+AB125)-(I125+M125+Q125+U125+Y125),Z124+AA125-AB125))</f>
        <v>0</v>
      </c>
    </row>
    <row r="126" customFormat="false" ht="15" hidden="false" customHeight="false" outlineLevel="0" collapsed="false">
      <c r="A126" s="29" t="n">
        <v>86</v>
      </c>
      <c r="B126" s="30" t="n">
        <f aca="false">F126+J126+N126+R126+V126+Z126</f>
        <v>0</v>
      </c>
      <c r="C126" s="30" t="n">
        <f aca="false">$C$14-E126</f>
        <v>8050</v>
      </c>
      <c r="D126" s="30" t="n">
        <f aca="false">G126+K126+O126+S126+W126+AA126</f>
        <v>0</v>
      </c>
      <c r="E126" s="30" t="n">
        <f aca="false">H126+I126+L126+M126+P126+Q126+T126+U126+X126+Y126+AB126+AC126</f>
        <v>0</v>
      </c>
      <c r="F126" s="30" t="n">
        <f aca="false">ROUND(F125+G126-H126-I126,2)</f>
        <v>0</v>
      </c>
      <c r="G126" s="30" t="n">
        <f aca="false">ROUND(F125*$E$18/12,2)</f>
        <v>0</v>
      </c>
      <c r="H126" s="30" t="n">
        <f aca="false">MIN($D$18,F125+G126)</f>
        <v>0</v>
      </c>
      <c r="I126" s="30" t="n">
        <f aca="false">MAX(0,MIN($C$14-(H126+L126+P126+T126+X126+AB126)-0,F125+G126-H126))</f>
        <v>0</v>
      </c>
      <c r="J126" s="30" t="n">
        <f aca="false">ROUND(J125+K126-L126-M126,2)</f>
        <v>0</v>
      </c>
      <c r="K126" s="30" t="n">
        <f aca="false">ROUND(J125*$E$19/12,2)</f>
        <v>0</v>
      </c>
      <c r="L126" s="30" t="n">
        <f aca="false">MIN($D$19,J125+K126)</f>
        <v>0</v>
      </c>
      <c r="M126" s="30" t="n">
        <f aca="false">MAX(0,MIN($C$14-(H126+L126+P126+T126+X126+AB126)-(I126),J125+K126-L126))</f>
        <v>0</v>
      </c>
      <c r="N126" s="30" t="n">
        <f aca="false">ROUND(N125+O126-P126-Q126,2)</f>
        <v>0</v>
      </c>
      <c r="O126" s="30" t="n">
        <f aca="false">ROUND(N125*$E$20/12,2)</f>
        <v>0</v>
      </c>
      <c r="P126" s="30" t="n">
        <f aca="false">MIN($D$20,N125+O126)</f>
        <v>0</v>
      </c>
      <c r="Q126" s="30" t="n">
        <f aca="false">MAX(0,MIN($C$14-(H126+L126+P126+T126+X126+AB126)-(I126+M126),N125+O126-P126))</f>
        <v>0</v>
      </c>
      <c r="R126" s="30" t="n">
        <f aca="false">ROUND(R125+S126-T126-U126,2)</f>
        <v>0</v>
      </c>
      <c r="S126" s="30" t="n">
        <f aca="false">ROUND(R125*$E$21/12,2)</f>
        <v>0</v>
      </c>
      <c r="T126" s="30" t="n">
        <f aca="false">MIN($D$21,R125+S126)</f>
        <v>0</v>
      </c>
      <c r="U126" s="30" t="n">
        <f aca="false">MAX(0,MIN($C$14-(H126+L126+P126+T126+X126+AB126)-(I126+M126+Q126),R125+S126-T126))</f>
        <v>0</v>
      </c>
      <c r="V126" s="30" t="n">
        <f aca="false">ROUND(V125+W126-X126-Y126,2)</f>
        <v>0</v>
      </c>
      <c r="W126" s="30" t="n">
        <f aca="false">ROUND(V125*$E$22/12,2)</f>
        <v>0</v>
      </c>
      <c r="X126" s="30" t="n">
        <f aca="false">MIN($D$22,V125+W126)</f>
        <v>0</v>
      </c>
      <c r="Y126" s="30" t="n">
        <f aca="false">MAX(0,MIN($C$14-(H126+L126+P126+T126+X126+AB126)-(I126+M126+Q126+U126),V125+W126-X126))</f>
        <v>0</v>
      </c>
      <c r="Z126" s="30" t="n">
        <f aca="false">ROUND(Z125+AA126-AB126-AC126,2)</f>
        <v>0</v>
      </c>
      <c r="AA126" s="30" t="n">
        <f aca="false">ROUND(Z125*$E$23/12,2)</f>
        <v>0</v>
      </c>
      <c r="AB126" s="30" t="n">
        <f aca="false">MIN($D$23,Z125+AA126)</f>
        <v>0</v>
      </c>
      <c r="AC126" s="30" t="n">
        <f aca="false">MAX(0,MIN($C$14-(H126+L126+P126+T126+X126+AB126)-(I126+M126+Q126+U126+Y126),Z125+AA126-AB126))</f>
        <v>0</v>
      </c>
    </row>
    <row r="127" customFormat="false" ht="15" hidden="false" customHeight="false" outlineLevel="0" collapsed="false">
      <c r="A127" s="29" t="n">
        <v>87</v>
      </c>
      <c r="B127" s="30" t="n">
        <f aca="false">F127+J127+N127+R127+V127+Z127</f>
        <v>0</v>
      </c>
      <c r="C127" s="30" t="n">
        <f aca="false">$C$14-E127</f>
        <v>8050</v>
      </c>
      <c r="D127" s="30" t="n">
        <f aca="false">G127+K127+O127+S127+W127+AA127</f>
        <v>0</v>
      </c>
      <c r="E127" s="30" t="n">
        <f aca="false">H127+I127+L127+M127+P127+Q127+T127+U127+X127+Y127+AB127+AC127</f>
        <v>0</v>
      </c>
      <c r="F127" s="30" t="n">
        <f aca="false">ROUND(F126+G127-H127-I127,2)</f>
        <v>0</v>
      </c>
      <c r="G127" s="30" t="n">
        <f aca="false">ROUND(F126*$E$18/12,2)</f>
        <v>0</v>
      </c>
      <c r="H127" s="30" t="n">
        <f aca="false">MIN($D$18,F126+G127)</f>
        <v>0</v>
      </c>
      <c r="I127" s="30" t="n">
        <f aca="false">MAX(0,MIN($C$14-(H127+L127+P127+T127+X127+AB127)-0,F126+G127-H127))</f>
        <v>0</v>
      </c>
      <c r="J127" s="30" t="n">
        <f aca="false">ROUND(J126+K127-L127-M127,2)</f>
        <v>0</v>
      </c>
      <c r="K127" s="30" t="n">
        <f aca="false">ROUND(J126*$E$19/12,2)</f>
        <v>0</v>
      </c>
      <c r="L127" s="30" t="n">
        <f aca="false">MIN($D$19,J126+K127)</f>
        <v>0</v>
      </c>
      <c r="M127" s="30" t="n">
        <f aca="false">MAX(0,MIN($C$14-(H127+L127+P127+T127+X127+AB127)-(I127),J126+K127-L127))</f>
        <v>0</v>
      </c>
      <c r="N127" s="30" t="n">
        <f aca="false">ROUND(N126+O127-P127-Q127,2)</f>
        <v>0</v>
      </c>
      <c r="O127" s="30" t="n">
        <f aca="false">ROUND(N126*$E$20/12,2)</f>
        <v>0</v>
      </c>
      <c r="P127" s="30" t="n">
        <f aca="false">MIN($D$20,N126+O127)</f>
        <v>0</v>
      </c>
      <c r="Q127" s="30" t="n">
        <f aca="false">MAX(0,MIN($C$14-(H127+L127+P127+T127+X127+AB127)-(I127+M127),N126+O127-P127))</f>
        <v>0</v>
      </c>
      <c r="R127" s="30" t="n">
        <f aca="false">ROUND(R126+S127-T127-U127,2)</f>
        <v>0</v>
      </c>
      <c r="S127" s="30" t="n">
        <f aca="false">ROUND(R126*$E$21/12,2)</f>
        <v>0</v>
      </c>
      <c r="T127" s="30" t="n">
        <f aca="false">MIN($D$21,R126+S127)</f>
        <v>0</v>
      </c>
      <c r="U127" s="30" t="n">
        <f aca="false">MAX(0,MIN($C$14-(H127+L127+P127+T127+X127+AB127)-(I127+M127+Q127),R126+S127-T127))</f>
        <v>0</v>
      </c>
      <c r="V127" s="30" t="n">
        <f aca="false">ROUND(V126+W127-X127-Y127,2)</f>
        <v>0</v>
      </c>
      <c r="W127" s="30" t="n">
        <f aca="false">ROUND(V126*$E$22/12,2)</f>
        <v>0</v>
      </c>
      <c r="X127" s="30" t="n">
        <f aca="false">MIN($D$22,V126+W127)</f>
        <v>0</v>
      </c>
      <c r="Y127" s="30" t="n">
        <f aca="false">MAX(0,MIN($C$14-(H127+L127+P127+T127+X127+AB127)-(I127+M127+Q127+U127),V126+W127-X127))</f>
        <v>0</v>
      </c>
      <c r="Z127" s="30" t="n">
        <f aca="false">ROUND(Z126+AA127-AB127-AC127,2)</f>
        <v>0</v>
      </c>
      <c r="AA127" s="30" t="n">
        <f aca="false">ROUND(Z126*$E$23/12,2)</f>
        <v>0</v>
      </c>
      <c r="AB127" s="30" t="n">
        <f aca="false">MIN($D$23,Z126+AA127)</f>
        <v>0</v>
      </c>
      <c r="AC127" s="30" t="n">
        <f aca="false">MAX(0,MIN($C$14-(H127+L127+P127+T127+X127+AB127)-(I127+M127+Q127+U127+Y127),Z126+AA127-AB127))</f>
        <v>0</v>
      </c>
    </row>
    <row r="128" customFormat="false" ht="15" hidden="false" customHeight="false" outlineLevel="0" collapsed="false">
      <c r="A128" s="29" t="n">
        <v>88</v>
      </c>
      <c r="B128" s="30" t="n">
        <f aca="false">F128+J128+N128+R128+V128+Z128</f>
        <v>0</v>
      </c>
      <c r="C128" s="30" t="n">
        <f aca="false">$C$14-E128</f>
        <v>8050</v>
      </c>
      <c r="D128" s="30" t="n">
        <f aca="false">G128+K128+O128+S128+W128+AA128</f>
        <v>0</v>
      </c>
      <c r="E128" s="30" t="n">
        <f aca="false">H128+I128+L128+M128+P128+Q128+T128+U128+X128+Y128+AB128+AC128</f>
        <v>0</v>
      </c>
      <c r="F128" s="30" t="n">
        <f aca="false">ROUND(F127+G128-H128-I128,2)</f>
        <v>0</v>
      </c>
      <c r="G128" s="30" t="n">
        <f aca="false">ROUND(F127*$E$18/12,2)</f>
        <v>0</v>
      </c>
      <c r="H128" s="30" t="n">
        <f aca="false">MIN($D$18,F127+G128)</f>
        <v>0</v>
      </c>
      <c r="I128" s="30" t="n">
        <f aca="false">MAX(0,MIN($C$14-(H128+L128+P128+T128+X128+AB128)-0,F127+G128-H128))</f>
        <v>0</v>
      </c>
      <c r="J128" s="30" t="n">
        <f aca="false">ROUND(J127+K128-L128-M128,2)</f>
        <v>0</v>
      </c>
      <c r="K128" s="30" t="n">
        <f aca="false">ROUND(J127*$E$19/12,2)</f>
        <v>0</v>
      </c>
      <c r="L128" s="30" t="n">
        <f aca="false">MIN($D$19,J127+K128)</f>
        <v>0</v>
      </c>
      <c r="M128" s="30" t="n">
        <f aca="false">MAX(0,MIN($C$14-(H128+L128+P128+T128+X128+AB128)-(I128),J127+K128-L128))</f>
        <v>0</v>
      </c>
      <c r="N128" s="30" t="n">
        <f aca="false">ROUND(N127+O128-P128-Q128,2)</f>
        <v>0</v>
      </c>
      <c r="O128" s="30" t="n">
        <f aca="false">ROUND(N127*$E$20/12,2)</f>
        <v>0</v>
      </c>
      <c r="P128" s="30" t="n">
        <f aca="false">MIN($D$20,N127+O128)</f>
        <v>0</v>
      </c>
      <c r="Q128" s="30" t="n">
        <f aca="false">MAX(0,MIN($C$14-(H128+L128+P128+T128+X128+AB128)-(I128+M128),N127+O128-P128))</f>
        <v>0</v>
      </c>
      <c r="R128" s="30" t="n">
        <f aca="false">ROUND(R127+S128-T128-U128,2)</f>
        <v>0</v>
      </c>
      <c r="S128" s="30" t="n">
        <f aca="false">ROUND(R127*$E$21/12,2)</f>
        <v>0</v>
      </c>
      <c r="T128" s="30" t="n">
        <f aca="false">MIN($D$21,R127+S128)</f>
        <v>0</v>
      </c>
      <c r="U128" s="30" t="n">
        <f aca="false">MAX(0,MIN($C$14-(H128+L128+P128+T128+X128+AB128)-(I128+M128+Q128),R127+S128-T128))</f>
        <v>0</v>
      </c>
      <c r="V128" s="30" t="n">
        <f aca="false">ROUND(V127+W128-X128-Y128,2)</f>
        <v>0</v>
      </c>
      <c r="W128" s="30" t="n">
        <f aca="false">ROUND(V127*$E$22/12,2)</f>
        <v>0</v>
      </c>
      <c r="X128" s="30" t="n">
        <f aca="false">MIN($D$22,V127+W128)</f>
        <v>0</v>
      </c>
      <c r="Y128" s="30" t="n">
        <f aca="false">MAX(0,MIN($C$14-(H128+L128+P128+T128+X128+AB128)-(I128+M128+Q128+U128),V127+W128-X128))</f>
        <v>0</v>
      </c>
      <c r="Z128" s="30" t="n">
        <f aca="false">ROUND(Z127+AA128-AB128-AC128,2)</f>
        <v>0</v>
      </c>
      <c r="AA128" s="30" t="n">
        <f aca="false">ROUND(Z127*$E$23/12,2)</f>
        <v>0</v>
      </c>
      <c r="AB128" s="30" t="n">
        <f aca="false">MIN($D$23,Z127+AA128)</f>
        <v>0</v>
      </c>
      <c r="AC128" s="30" t="n">
        <f aca="false">MAX(0,MIN($C$14-(H128+L128+P128+T128+X128+AB128)-(I128+M128+Q128+U128+Y128),Z127+AA128-AB128))</f>
        <v>0</v>
      </c>
    </row>
    <row r="129" customFormat="false" ht="15" hidden="false" customHeight="false" outlineLevel="0" collapsed="false">
      <c r="A129" s="29" t="n">
        <v>89</v>
      </c>
      <c r="B129" s="30" t="n">
        <f aca="false">F129+J129+N129+R129+V129+Z129</f>
        <v>0</v>
      </c>
      <c r="C129" s="30" t="n">
        <f aca="false">$C$14-E129</f>
        <v>8050</v>
      </c>
      <c r="D129" s="30" t="n">
        <f aca="false">G129+K129+O129+S129+W129+AA129</f>
        <v>0</v>
      </c>
      <c r="E129" s="30" t="n">
        <f aca="false">H129+I129+L129+M129+P129+Q129+T129+U129+X129+Y129+AB129+AC129</f>
        <v>0</v>
      </c>
      <c r="F129" s="30" t="n">
        <f aca="false">ROUND(F128+G129-H129-I129,2)</f>
        <v>0</v>
      </c>
      <c r="G129" s="30" t="n">
        <f aca="false">ROUND(F128*$E$18/12,2)</f>
        <v>0</v>
      </c>
      <c r="H129" s="30" t="n">
        <f aca="false">MIN($D$18,F128+G129)</f>
        <v>0</v>
      </c>
      <c r="I129" s="30" t="n">
        <f aca="false">MAX(0,MIN($C$14-(H129+L129+P129+T129+X129+AB129)-0,F128+G129-H129))</f>
        <v>0</v>
      </c>
      <c r="J129" s="30" t="n">
        <f aca="false">ROUND(J128+K129-L129-M129,2)</f>
        <v>0</v>
      </c>
      <c r="K129" s="30" t="n">
        <f aca="false">ROUND(J128*$E$19/12,2)</f>
        <v>0</v>
      </c>
      <c r="L129" s="30" t="n">
        <f aca="false">MIN($D$19,J128+K129)</f>
        <v>0</v>
      </c>
      <c r="M129" s="30" t="n">
        <f aca="false">MAX(0,MIN($C$14-(H129+L129+P129+T129+X129+AB129)-(I129),J128+K129-L129))</f>
        <v>0</v>
      </c>
      <c r="N129" s="30" t="n">
        <f aca="false">ROUND(N128+O129-P129-Q129,2)</f>
        <v>0</v>
      </c>
      <c r="O129" s="30" t="n">
        <f aca="false">ROUND(N128*$E$20/12,2)</f>
        <v>0</v>
      </c>
      <c r="P129" s="30" t="n">
        <f aca="false">MIN($D$20,N128+O129)</f>
        <v>0</v>
      </c>
      <c r="Q129" s="30" t="n">
        <f aca="false">MAX(0,MIN($C$14-(H129+L129+P129+T129+X129+AB129)-(I129+M129),N128+O129-P129))</f>
        <v>0</v>
      </c>
      <c r="R129" s="30" t="n">
        <f aca="false">ROUND(R128+S129-T129-U129,2)</f>
        <v>0</v>
      </c>
      <c r="S129" s="30" t="n">
        <f aca="false">ROUND(R128*$E$21/12,2)</f>
        <v>0</v>
      </c>
      <c r="T129" s="30" t="n">
        <f aca="false">MIN($D$21,R128+S129)</f>
        <v>0</v>
      </c>
      <c r="U129" s="30" t="n">
        <f aca="false">MAX(0,MIN($C$14-(H129+L129+P129+T129+X129+AB129)-(I129+M129+Q129),R128+S129-T129))</f>
        <v>0</v>
      </c>
      <c r="V129" s="30" t="n">
        <f aca="false">ROUND(V128+W129-X129-Y129,2)</f>
        <v>0</v>
      </c>
      <c r="W129" s="30" t="n">
        <f aca="false">ROUND(V128*$E$22/12,2)</f>
        <v>0</v>
      </c>
      <c r="X129" s="30" t="n">
        <f aca="false">MIN($D$22,V128+W129)</f>
        <v>0</v>
      </c>
      <c r="Y129" s="30" t="n">
        <f aca="false">MAX(0,MIN($C$14-(H129+L129+P129+T129+X129+AB129)-(I129+M129+Q129+U129),V128+W129-X129))</f>
        <v>0</v>
      </c>
      <c r="Z129" s="30" t="n">
        <f aca="false">ROUND(Z128+AA129-AB129-AC129,2)</f>
        <v>0</v>
      </c>
      <c r="AA129" s="30" t="n">
        <f aca="false">ROUND(Z128*$E$23/12,2)</f>
        <v>0</v>
      </c>
      <c r="AB129" s="30" t="n">
        <f aca="false">MIN($D$23,Z128+AA129)</f>
        <v>0</v>
      </c>
      <c r="AC129" s="30" t="n">
        <f aca="false">MAX(0,MIN($C$14-(H129+L129+P129+T129+X129+AB129)-(I129+M129+Q129+U129+Y129),Z128+AA129-AB129))</f>
        <v>0</v>
      </c>
    </row>
    <row r="130" customFormat="false" ht="15" hidden="false" customHeight="false" outlineLevel="0" collapsed="false">
      <c r="A130" s="29" t="n">
        <v>90</v>
      </c>
      <c r="B130" s="30" t="n">
        <f aca="false">F130+J130+N130+R130+V130+Z130</f>
        <v>0</v>
      </c>
      <c r="C130" s="30" t="n">
        <f aca="false">$C$14-E130</f>
        <v>8050</v>
      </c>
      <c r="D130" s="30" t="n">
        <f aca="false">G130+K130+O130+S130+W130+AA130</f>
        <v>0</v>
      </c>
      <c r="E130" s="30" t="n">
        <f aca="false">H130+I130+L130+M130+P130+Q130+T130+U130+X130+Y130+AB130+AC130</f>
        <v>0</v>
      </c>
      <c r="F130" s="30" t="n">
        <f aca="false">ROUND(F129+G130-H130-I130,2)</f>
        <v>0</v>
      </c>
      <c r="G130" s="30" t="n">
        <f aca="false">ROUND(F129*$E$18/12,2)</f>
        <v>0</v>
      </c>
      <c r="H130" s="30" t="n">
        <f aca="false">MIN($D$18,F129+G130)</f>
        <v>0</v>
      </c>
      <c r="I130" s="30" t="n">
        <f aca="false">MAX(0,MIN($C$14-(H130+L130+P130+T130+X130+AB130)-0,F129+G130-H130))</f>
        <v>0</v>
      </c>
      <c r="J130" s="30" t="n">
        <f aca="false">ROUND(J129+K130-L130-M130,2)</f>
        <v>0</v>
      </c>
      <c r="K130" s="30" t="n">
        <f aca="false">ROUND(J129*$E$19/12,2)</f>
        <v>0</v>
      </c>
      <c r="L130" s="30" t="n">
        <f aca="false">MIN($D$19,J129+K130)</f>
        <v>0</v>
      </c>
      <c r="M130" s="30" t="n">
        <f aca="false">MAX(0,MIN($C$14-(H130+L130+P130+T130+X130+AB130)-(I130),J129+K130-L130))</f>
        <v>0</v>
      </c>
      <c r="N130" s="30" t="n">
        <f aca="false">ROUND(N129+O130-P130-Q130,2)</f>
        <v>0</v>
      </c>
      <c r="O130" s="30" t="n">
        <f aca="false">ROUND(N129*$E$20/12,2)</f>
        <v>0</v>
      </c>
      <c r="P130" s="30" t="n">
        <f aca="false">MIN($D$20,N129+O130)</f>
        <v>0</v>
      </c>
      <c r="Q130" s="30" t="n">
        <f aca="false">MAX(0,MIN($C$14-(H130+L130+P130+T130+X130+AB130)-(I130+M130),N129+O130-P130))</f>
        <v>0</v>
      </c>
      <c r="R130" s="30" t="n">
        <f aca="false">ROUND(R129+S130-T130-U130,2)</f>
        <v>0</v>
      </c>
      <c r="S130" s="30" t="n">
        <f aca="false">ROUND(R129*$E$21/12,2)</f>
        <v>0</v>
      </c>
      <c r="T130" s="30" t="n">
        <f aca="false">MIN($D$21,R129+S130)</f>
        <v>0</v>
      </c>
      <c r="U130" s="30" t="n">
        <f aca="false">MAX(0,MIN($C$14-(H130+L130+P130+T130+X130+AB130)-(I130+M130+Q130),R129+S130-T130))</f>
        <v>0</v>
      </c>
      <c r="V130" s="30" t="n">
        <f aca="false">ROUND(V129+W130-X130-Y130,2)</f>
        <v>0</v>
      </c>
      <c r="W130" s="30" t="n">
        <f aca="false">ROUND(V129*$E$22/12,2)</f>
        <v>0</v>
      </c>
      <c r="X130" s="30" t="n">
        <f aca="false">MIN($D$22,V129+W130)</f>
        <v>0</v>
      </c>
      <c r="Y130" s="30" t="n">
        <f aca="false">MAX(0,MIN($C$14-(H130+L130+P130+T130+X130+AB130)-(I130+M130+Q130+U130),V129+W130-X130))</f>
        <v>0</v>
      </c>
      <c r="Z130" s="30" t="n">
        <f aca="false">ROUND(Z129+AA130-AB130-AC130,2)</f>
        <v>0</v>
      </c>
      <c r="AA130" s="30" t="n">
        <f aca="false">ROUND(Z129*$E$23/12,2)</f>
        <v>0</v>
      </c>
      <c r="AB130" s="30" t="n">
        <f aca="false">MIN($D$23,Z129+AA130)</f>
        <v>0</v>
      </c>
      <c r="AC130" s="30" t="n">
        <f aca="false">MAX(0,MIN($C$14-(H130+L130+P130+T130+X130+AB130)-(I130+M130+Q130+U130+Y130),Z129+AA130-AB130))</f>
        <v>0</v>
      </c>
    </row>
    <row r="131" customFormat="false" ht="15" hidden="false" customHeight="false" outlineLevel="0" collapsed="false">
      <c r="A131" s="29" t="n">
        <v>91</v>
      </c>
      <c r="B131" s="30" t="n">
        <f aca="false">F131+J131+N131+R131+V131+Z131</f>
        <v>0</v>
      </c>
      <c r="C131" s="30" t="n">
        <f aca="false">$C$14-E131</f>
        <v>8050</v>
      </c>
      <c r="D131" s="30" t="n">
        <f aca="false">G131+K131+O131+S131+W131+AA131</f>
        <v>0</v>
      </c>
      <c r="E131" s="30" t="n">
        <f aca="false">H131+I131+L131+M131+P131+Q131+T131+U131+X131+Y131+AB131+AC131</f>
        <v>0</v>
      </c>
      <c r="F131" s="30" t="n">
        <f aca="false">ROUND(F130+G131-H131-I131,2)</f>
        <v>0</v>
      </c>
      <c r="G131" s="30" t="n">
        <f aca="false">ROUND(F130*$E$18/12,2)</f>
        <v>0</v>
      </c>
      <c r="H131" s="30" t="n">
        <f aca="false">MIN($D$18,F130+G131)</f>
        <v>0</v>
      </c>
      <c r="I131" s="30" t="n">
        <f aca="false">MAX(0,MIN($C$14-(H131+L131+P131+T131+X131+AB131)-0,F130+G131-H131))</f>
        <v>0</v>
      </c>
      <c r="J131" s="30" t="n">
        <f aca="false">ROUND(J130+K131-L131-M131,2)</f>
        <v>0</v>
      </c>
      <c r="K131" s="30" t="n">
        <f aca="false">ROUND(J130*$E$19/12,2)</f>
        <v>0</v>
      </c>
      <c r="L131" s="30" t="n">
        <f aca="false">MIN($D$19,J130+K131)</f>
        <v>0</v>
      </c>
      <c r="M131" s="30" t="n">
        <f aca="false">MAX(0,MIN($C$14-(H131+L131+P131+T131+X131+AB131)-(I131),J130+K131-L131))</f>
        <v>0</v>
      </c>
      <c r="N131" s="30" t="n">
        <f aca="false">ROUND(N130+O131-P131-Q131,2)</f>
        <v>0</v>
      </c>
      <c r="O131" s="30" t="n">
        <f aca="false">ROUND(N130*$E$20/12,2)</f>
        <v>0</v>
      </c>
      <c r="P131" s="30" t="n">
        <f aca="false">MIN($D$20,N130+O131)</f>
        <v>0</v>
      </c>
      <c r="Q131" s="30" t="n">
        <f aca="false">MAX(0,MIN($C$14-(H131+L131+P131+T131+X131+AB131)-(I131+M131),N130+O131-P131))</f>
        <v>0</v>
      </c>
      <c r="R131" s="30" t="n">
        <f aca="false">ROUND(R130+S131-T131-U131,2)</f>
        <v>0</v>
      </c>
      <c r="S131" s="30" t="n">
        <f aca="false">ROUND(R130*$E$21/12,2)</f>
        <v>0</v>
      </c>
      <c r="T131" s="30" t="n">
        <f aca="false">MIN($D$21,R130+S131)</f>
        <v>0</v>
      </c>
      <c r="U131" s="30" t="n">
        <f aca="false">MAX(0,MIN($C$14-(H131+L131+P131+T131+X131+AB131)-(I131+M131+Q131),R130+S131-T131))</f>
        <v>0</v>
      </c>
      <c r="V131" s="30" t="n">
        <f aca="false">ROUND(V130+W131-X131-Y131,2)</f>
        <v>0</v>
      </c>
      <c r="W131" s="30" t="n">
        <f aca="false">ROUND(V130*$E$22/12,2)</f>
        <v>0</v>
      </c>
      <c r="X131" s="30" t="n">
        <f aca="false">MIN($D$22,V130+W131)</f>
        <v>0</v>
      </c>
      <c r="Y131" s="30" t="n">
        <f aca="false">MAX(0,MIN($C$14-(H131+L131+P131+T131+X131+AB131)-(I131+M131+Q131+U131),V130+W131-X131))</f>
        <v>0</v>
      </c>
      <c r="Z131" s="30" t="n">
        <f aca="false">ROUND(Z130+AA131-AB131-AC131,2)</f>
        <v>0</v>
      </c>
      <c r="AA131" s="30" t="n">
        <f aca="false">ROUND(Z130*$E$23/12,2)</f>
        <v>0</v>
      </c>
      <c r="AB131" s="30" t="n">
        <f aca="false">MIN($D$23,Z130+AA131)</f>
        <v>0</v>
      </c>
      <c r="AC131" s="30" t="n">
        <f aca="false">MAX(0,MIN($C$14-(H131+L131+P131+T131+X131+AB131)-(I131+M131+Q131+U131+Y131),Z130+AA131-AB131))</f>
        <v>0</v>
      </c>
    </row>
    <row r="132" customFormat="false" ht="15" hidden="false" customHeight="false" outlineLevel="0" collapsed="false">
      <c r="A132" s="29" t="n">
        <v>92</v>
      </c>
      <c r="B132" s="30" t="n">
        <f aca="false">F132+J132+N132+R132+V132+Z132</f>
        <v>0</v>
      </c>
      <c r="C132" s="30" t="n">
        <f aca="false">$C$14-E132</f>
        <v>8050</v>
      </c>
      <c r="D132" s="30" t="n">
        <f aca="false">G132+K132+O132+S132+W132+AA132</f>
        <v>0</v>
      </c>
      <c r="E132" s="30" t="n">
        <f aca="false">H132+I132+L132+M132+P132+Q132+T132+U132+X132+Y132+AB132+AC132</f>
        <v>0</v>
      </c>
      <c r="F132" s="30" t="n">
        <f aca="false">ROUND(F131+G132-H132-I132,2)</f>
        <v>0</v>
      </c>
      <c r="G132" s="30" t="n">
        <f aca="false">ROUND(F131*$E$18/12,2)</f>
        <v>0</v>
      </c>
      <c r="H132" s="30" t="n">
        <f aca="false">MIN($D$18,F131+G132)</f>
        <v>0</v>
      </c>
      <c r="I132" s="30" t="n">
        <f aca="false">MAX(0,MIN($C$14-(H132+L132+P132+T132+X132+AB132)-0,F131+G132-H132))</f>
        <v>0</v>
      </c>
      <c r="J132" s="30" t="n">
        <f aca="false">ROUND(J131+K132-L132-M132,2)</f>
        <v>0</v>
      </c>
      <c r="K132" s="30" t="n">
        <f aca="false">ROUND(J131*$E$19/12,2)</f>
        <v>0</v>
      </c>
      <c r="L132" s="30" t="n">
        <f aca="false">MIN($D$19,J131+K132)</f>
        <v>0</v>
      </c>
      <c r="M132" s="30" t="n">
        <f aca="false">MAX(0,MIN($C$14-(H132+L132+P132+T132+X132+AB132)-(I132),J131+K132-L132))</f>
        <v>0</v>
      </c>
      <c r="N132" s="30" t="n">
        <f aca="false">ROUND(N131+O132-P132-Q132,2)</f>
        <v>0</v>
      </c>
      <c r="O132" s="30" t="n">
        <f aca="false">ROUND(N131*$E$20/12,2)</f>
        <v>0</v>
      </c>
      <c r="P132" s="30" t="n">
        <f aca="false">MIN($D$20,N131+O132)</f>
        <v>0</v>
      </c>
      <c r="Q132" s="30" t="n">
        <f aca="false">MAX(0,MIN($C$14-(H132+L132+P132+T132+X132+AB132)-(I132+M132),N131+O132-P132))</f>
        <v>0</v>
      </c>
      <c r="R132" s="30" t="n">
        <f aca="false">ROUND(R131+S132-T132-U132,2)</f>
        <v>0</v>
      </c>
      <c r="S132" s="30" t="n">
        <f aca="false">ROUND(R131*$E$21/12,2)</f>
        <v>0</v>
      </c>
      <c r="T132" s="30" t="n">
        <f aca="false">MIN($D$21,R131+S132)</f>
        <v>0</v>
      </c>
      <c r="U132" s="30" t="n">
        <f aca="false">MAX(0,MIN($C$14-(H132+L132+P132+T132+X132+AB132)-(I132+M132+Q132),R131+S132-T132))</f>
        <v>0</v>
      </c>
      <c r="V132" s="30" t="n">
        <f aca="false">ROUND(V131+W132-X132-Y132,2)</f>
        <v>0</v>
      </c>
      <c r="W132" s="30" t="n">
        <f aca="false">ROUND(V131*$E$22/12,2)</f>
        <v>0</v>
      </c>
      <c r="X132" s="30" t="n">
        <f aca="false">MIN($D$22,V131+W132)</f>
        <v>0</v>
      </c>
      <c r="Y132" s="30" t="n">
        <f aca="false">MAX(0,MIN($C$14-(H132+L132+P132+T132+X132+AB132)-(I132+M132+Q132+U132),V131+W132-X132))</f>
        <v>0</v>
      </c>
      <c r="Z132" s="30" t="n">
        <f aca="false">ROUND(Z131+AA132-AB132-AC132,2)</f>
        <v>0</v>
      </c>
      <c r="AA132" s="30" t="n">
        <f aca="false">ROUND(Z131*$E$23/12,2)</f>
        <v>0</v>
      </c>
      <c r="AB132" s="30" t="n">
        <f aca="false">MIN($D$23,Z131+AA132)</f>
        <v>0</v>
      </c>
      <c r="AC132" s="30" t="n">
        <f aca="false">MAX(0,MIN($C$14-(H132+L132+P132+T132+X132+AB132)-(I132+M132+Q132+U132+Y132),Z131+AA132-AB132))</f>
        <v>0</v>
      </c>
    </row>
    <row r="133" customFormat="false" ht="15" hidden="false" customHeight="false" outlineLevel="0" collapsed="false">
      <c r="A133" s="29" t="n">
        <v>93</v>
      </c>
      <c r="B133" s="30" t="n">
        <f aca="false">F133+J133+N133+R133+V133+Z133</f>
        <v>0</v>
      </c>
      <c r="C133" s="30" t="n">
        <f aca="false">$C$14-E133</f>
        <v>8050</v>
      </c>
      <c r="D133" s="30" t="n">
        <f aca="false">G133+K133+O133+S133+W133+AA133</f>
        <v>0</v>
      </c>
      <c r="E133" s="30" t="n">
        <f aca="false">H133+I133+L133+M133+P133+Q133+T133+U133+X133+Y133+AB133+AC133</f>
        <v>0</v>
      </c>
      <c r="F133" s="30" t="n">
        <f aca="false">ROUND(F132+G133-H133-I133,2)</f>
        <v>0</v>
      </c>
      <c r="G133" s="30" t="n">
        <f aca="false">ROUND(F132*$E$18/12,2)</f>
        <v>0</v>
      </c>
      <c r="H133" s="30" t="n">
        <f aca="false">MIN($D$18,F132+G133)</f>
        <v>0</v>
      </c>
      <c r="I133" s="30" t="n">
        <f aca="false">MAX(0,MIN($C$14-(H133+L133+P133+T133+X133+AB133)-0,F132+G133-H133))</f>
        <v>0</v>
      </c>
      <c r="J133" s="30" t="n">
        <f aca="false">ROUND(J132+K133-L133-M133,2)</f>
        <v>0</v>
      </c>
      <c r="K133" s="30" t="n">
        <f aca="false">ROUND(J132*$E$19/12,2)</f>
        <v>0</v>
      </c>
      <c r="L133" s="30" t="n">
        <f aca="false">MIN($D$19,J132+K133)</f>
        <v>0</v>
      </c>
      <c r="M133" s="30" t="n">
        <f aca="false">MAX(0,MIN($C$14-(H133+L133+P133+T133+X133+AB133)-(I133),J132+K133-L133))</f>
        <v>0</v>
      </c>
      <c r="N133" s="30" t="n">
        <f aca="false">ROUND(N132+O133-P133-Q133,2)</f>
        <v>0</v>
      </c>
      <c r="O133" s="30" t="n">
        <f aca="false">ROUND(N132*$E$20/12,2)</f>
        <v>0</v>
      </c>
      <c r="P133" s="30" t="n">
        <f aca="false">MIN($D$20,N132+O133)</f>
        <v>0</v>
      </c>
      <c r="Q133" s="30" t="n">
        <f aca="false">MAX(0,MIN($C$14-(H133+L133+P133+T133+X133+AB133)-(I133+M133),N132+O133-P133))</f>
        <v>0</v>
      </c>
      <c r="R133" s="30" t="n">
        <f aca="false">ROUND(R132+S133-T133-U133,2)</f>
        <v>0</v>
      </c>
      <c r="S133" s="30" t="n">
        <f aca="false">ROUND(R132*$E$21/12,2)</f>
        <v>0</v>
      </c>
      <c r="T133" s="30" t="n">
        <f aca="false">MIN($D$21,R132+S133)</f>
        <v>0</v>
      </c>
      <c r="U133" s="30" t="n">
        <f aca="false">MAX(0,MIN($C$14-(H133+L133+P133+T133+X133+AB133)-(I133+M133+Q133),R132+S133-T133))</f>
        <v>0</v>
      </c>
      <c r="V133" s="30" t="n">
        <f aca="false">ROUND(V132+W133-X133-Y133,2)</f>
        <v>0</v>
      </c>
      <c r="W133" s="30" t="n">
        <f aca="false">ROUND(V132*$E$22/12,2)</f>
        <v>0</v>
      </c>
      <c r="X133" s="30" t="n">
        <f aca="false">MIN($D$22,V132+W133)</f>
        <v>0</v>
      </c>
      <c r="Y133" s="30" t="n">
        <f aca="false">MAX(0,MIN($C$14-(H133+L133+P133+T133+X133+AB133)-(I133+M133+Q133+U133),V132+W133-X133))</f>
        <v>0</v>
      </c>
      <c r="Z133" s="30" t="n">
        <f aca="false">ROUND(Z132+AA133-AB133-AC133,2)</f>
        <v>0</v>
      </c>
      <c r="AA133" s="30" t="n">
        <f aca="false">ROUND(Z132*$E$23/12,2)</f>
        <v>0</v>
      </c>
      <c r="AB133" s="30" t="n">
        <f aca="false">MIN($D$23,Z132+AA133)</f>
        <v>0</v>
      </c>
      <c r="AC133" s="30" t="n">
        <f aca="false">MAX(0,MIN($C$14-(H133+L133+P133+T133+X133+AB133)-(I133+M133+Q133+U133+Y133),Z132+AA133-AB133))</f>
        <v>0</v>
      </c>
    </row>
    <row r="134" customFormat="false" ht="15" hidden="false" customHeight="false" outlineLevel="0" collapsed="false">
      <c r="A134" s="29" t="n">
        <v>94</v>
      </c>
      <c r="B134" s="30" t="n">
        <f aca="false">F134+J134+N134+R134+V134+Z134</f>
        <v>0</v>
      </c>
      <c r="C134" s="30" t="n">
        <f aca="false">$C$14-E134</f>
        <v>8050</v>
      </c>
      <c r="D134" s="30" t="n">
        <f aca="false">G134+K134+O134+S134+W134+AA134</f>
        <v>0</v>
      </c>
      <c r="E134" s="30" t="n">
        <f aca="false">H134+I134+L134+M134+P134+Q134+T134+U134+X134+Y134+AB134+AC134</f>
        <v>0</v>
      </c>
      <c r="F134" s="30" t="n">
        <f aca="false">ROUND(F133+G134-H134-I134,2)</f>
        <v>0</v>
      </c>
      <c r="G134" s="30" t="n">
        <f aca="false">ROUND(F133*$E$18/12,2)</f>
        <v>0</v>
      </c>
      <c r="H134" s="30" t="n">
        <f aca="false">MIN($D$18,F133+G134)</f>
        <v>0</v>
      </c>
      <c r="I134" s="30" t="n">
        <f aca="false">MAX(0,MIN($C$14-(H134+L134+P134+T134+X134+AB134)-0,F133+G134-H134))</f>
        <v>0</v>
      </c>
      <c r="J134" s="30" t="n">
        <f aca="false">ROUND(J133+K134-L134-M134,2)</f>
        <v>0</v>
      </c>
      <c r="K134" s="30" t="n">
        <f aca="false">ROUND(J133*$E$19/12,2)</f>
        <v>0</v>
      </c>
      <c r="L134" s="30" t="n">
        <f aca="false">MIN($D$19,J133+K134)</f>
        <v>0</v>
      </c>
      <c r="M134" s="30" t="n">
        <f aca="false">MAX(0,MIN($C$14-(H134+L134+P134+T134+X134+AB134)-(I134),J133+K134-L134))</f>
        <v>0</v>
      </c>
      <c r="N134" s="30" t="n">
        <f aca="false">ROUND(N133+O134-P134-Q134,2)</f>
        <v>0</v>
      </c>
      <c r="O134" s="30" t="n">
        <f aca="false">ROUND(N133*$E$20/12,2)</f>
        <v>0</v>
      </c>
      <c r="P134" s="30" t="n">
        <f aca="false">MIN($D$20,N133+O134)</f>
        <v>0</v>
      </c>
      <c r="Q134" s="30" t="n">
        <f aca="false">MAX(0,MIN($C$14-(H134+L134+P134+T134+X134+AB134)-(I134+M134),N133+O134-P134))</f>
        <v>0</v>
      </c>
      <c r="R134" s="30" t="n">
        <f aca="false">ROUND(R133+S134-T134-U134,2)</f>
        <v>0</v>
      </c>
      <c r="S134" s="30" t="n">
        <f aca="false">ROUND(R133*$E$21/12,2)</f>
        <v>0</v>
      </c>
      <c r="T134" s="30" t="n">
        <f aca="false">MIN($D$21,R133+S134)</f>
        <v>0</v>
      </c>
      <c r="U134" s="30" t="n">
        <f aca="false">MAX(0,MIN($C$14-(H134+L134+P134+T134+X134+AB134)-(I134+M134+Q134),R133+S134-T134))</f>
        <v>0</v>
      </c>
      <c r="V134" s="30" t="n">
        <f aca="false">ROUND(V133+W134-X134-Y134,2)</f>
        <v>0</v>
      </c>
      <c r="W134" s="30" t="n">
        <f aca="false">ROUND(V133*$E$22/12,2)</f>
        <v>0</v>
      </c>
      <c r="X134" s="30" t="n">
        <f aca="false">MIN($D$22,V133+W134)</f>
        <v>0</v>
      </c>
      <c r="Y134" s="30" t="n">
        <f aca="false">MAX(0,MIN($C$14-(H134+L134+P134+T134+X134+AB134)-(I134+M134+Q134+U134),V133+W134-X134))</f>
        <v>0</v>
      </c>
      <c r="Z134" s="30" t="n">
        <f aca="false">ROUND(Z133+AA134-AB134-AC134,2)</f>
        <v>0</v>
      </c>
      <c r="AA134" s="30" t="n">
        <f aca="false">ROUND(Z133*$E$23/12,2)</f>
        <v>0</v>
      </c>
      <c r="AB134" s="30" t="n">
        <f aca="false">MIN($D$23,Z133+AA134)</f>
        <v>0</v>
      </c>
      <c r="AC134" s="30" t="n">
        <f aca="false">MAX(0,MIN($C$14-(H134+L134+P134+T134+X134+AB134)-(I134+M134+Q134+U134+Y134),Z133+AA134-AB134))</f>
        <v>0</v>
      </c>
    </row>
    <row r="135" customFormat="false" ht="15" hidden="false" customHeight="false" outlineLevel="0" collapsed="false">
      <c r="A135" s="29" t="n">
        <v>95</v>
      </c>
      <c r="B135" s="30" t="n">
        <f aca="false">F135+J135+N135+R135+V135+Z135</f>
        <v>0</v>
      </c>
      <c r="C135" s="30" t="n">
        <f aca="false">$C$14-E135</f>
        <v>8050</v>
      </c>
      <c r="D135" s="30" t="n">
        <f aca="false">G135+K135+O135+S135+W135+AA135</f>
        <v>0</v>
      </c>
      <c r="E135" s="30" t="n">
        <f aca="false">H135+I135+L135+M135+P135+Q135+T135+U135+X135+Y135+AB135+AC135</f>
        <v>0</v>
      </c>
      <c r="F135" s="30" t="n">
        <f aca="false">ROUND(F134+G135-H135-I135,2)</f>
        <v>0</v>
      </c>
      <c r="G135" s="30" t="n">
        <f aca="false">ROUND(F134*$E$18/12,2)</f>
        <v>0</v>
      </c>
      <c r="H135" s="30" t="n">
        <f aca="false">MIN($D$18,F134+G135)</f>
        <v>0</v>
      </c>
      <c r="I135" s="30" t="n">
        <f aca="false">MAX(0,MIN($C$14-(H135+L135+P135+T135+X135+AB135)-0,F134+G135-H135))</f>
        <v>0</v>
      </c>
      <c r="J135" s="30" t="n">
        <f aca="false">ROUND(J134+K135-L135-M135,2)</f>
        <v>0</v>
      </c>
      <c r="K135" s="30" t="n">
        <f aca="false">ROUND(J134*$E$19/12,2)</f>
        <v>0</v>
      </c>
      <c r="L135" s="30" t="n">
        <f aca="false">MIN($D$19,J134+K135)</f>
        <v>0</v>
      </c>
      <c r="M135" s="30" t="n">
        <f aca="false">MAX(0,MIN($C$14-(H135+L135+P135+T135+X135+AB135)-(I135),J134+K135-L135))</f>
        <v>0</v>
      </c>
      <c r="N135" s="30" t="n">
        <f aca="false">ROUND(N134+O135-P135-Q135,2)</f>
        <v>0</v>
      </c>
      <c r="O135" s="30" t="n">
        <f aca="false">ROUND(N134*$E$20/12,2)</f>
        <v>0</v>
      </c>
      <c r="P135" s="30" t="n">
        <f aca="false">MIN($D$20,N134+O135)</f>
        <v>0</v>
      </c>
      <c r="Q135" s="30" t="n">
        <f aca="false">MAX(0,MIN($C$14-(H135+L135+P135+T135+X135+AB135)-(I135+M135),N134+O135-P135))</f>
        <v>0</v>
      </c>
      <c r="R135" s="30" t="n">
        <f aca="false">ROUND(R134+S135-T135-U135,2)</f>
        <v>0</v>
      </c>
      <c r="S135" s="30" t="n">
        <f aca="false">ROUND(R134*$E$21/12,2)</f>
        <v>0</v>
      </c>
      <c r="T135" s="30" t="n">
        <f aca="false">MIN($D$21,R134+S135)</f>
        <v>0</v>
      </c>
      <c r="U135" s="30" t="n">
        <f aca="false">MAX(0,MIN($C$14-(H135+L135+P135+T135+X135+AB135)-(I135+M135+Q135),R134+S135-T135))</f>
        <v>0</v>
      </c>
      <c r="V135" s="30" t="n">
        <f aca="false">ROUND(V134+W135-X135-Y135,2)</f>
        <v>0</v>
      </c>
      <c r="W135" s="30" t="n">
        <f aca="false">ROUND(V134*$E$22/12,2)</f>
        <v>0</v>
      </c>
      <c r="X135" s="30" t="n">
        <f aca="false">MIN($D$22,V134+W135)</f>
        <v>0</v>
      </c>
      <c r="Y135" s="30" t="n">
        <f aca="false">MAX(0,MIN($C$14-(H135+L135+P135+T135+X135+AB135)-(I135+M135+Q135+U135),V134+W135-X135))</f>
        <v>0</v>
      </c>
      <c r="Z135" s="30" t="n">
        <f aca="false">ROUND(Z134+AA135-AB135-AC135,2)</f>
        <v>0</v>
      </c>
      <c r="AA135" s="30" t="n">
        <f aca="false">ROUND(Z134*$E$23/12,2)</f>
        <v>0</v>
      </c>
      <c r="AB135" s="30" t="n">
        <f aca="false">MIN($D$23,Z134+AA135)</f>
        <v>0</v>
      </c>
      <c r="AC135" s="30" t="n">
        <f aca="false">MAX(0,MIN($C$14-(H135+L135+P135+T135+X135+AB135)-(I135+M135+Q135+U135+Y135),Z134+AA135-AB135))</f>
        <v>0</v>
      </c>
    </row>
    <row r="136" customFormat="false" ht="15" hidden="false" customHeight="false" outlineLevel="0" collapsed="false">
      <c r="A136" s="29" t="n">
        <v>96</v>
      </c>
      <c r="B136" s="30" t="n">
        <f aca="false">F136+J136+N136+R136+V136+Z136</f>
        <v>0</v>
      </c>
      <c r="C136" s="30" t="n">
        <f aca="false">$C$14-E136</f>
        <v>8050</v>
      </c>
      <c r="D136" s="30" t="n">
        <f aca="false">G136+K136+O136+S136+W136+AA136</f>
        <v>0</v>
      </c>
      <c r="E136" s="30" t="n">
        <f aca="false">H136+I136+L136+M136+P136+Q136+T136+U136+X136+Y136+AB136+AC136</f>
        <v>0</v>
      </c>
      <c r="F136" s="30" t="n">
        <f aca="false">ROUND(F135+G136-H136-I136,2)</f>
        <v>0</v>
      </c>
      <c r="G136" s="30" t="n">
        <f aca="false">ROUND(F135*$E$18/12,2)</f>
        <v>0</v>
      </c>
      <c r="H136" s="30" t="n">
        <f aca="false">MIN($D$18,F135+G136)</f>
        <v>0</v>
      </c>
      <c r="I136" s="30" t="n">
        <f aca="false">MAX(0,MIN($C$14-(H136+L136+P136+T136+X136+AB136)-0,F135+G136-H136))</f>
        <v>0</v>
      </c>
      <c r="J136" s="30" t="n">
        <f aca="false">ROUND(J135+K136-L136-M136,2)</f>
        <v>0</v>
      </c>
      <c r="K136" s="30" t="n">
        <f aca="false">ROUND(J135*$E$19/12,2)</f>
        <v>0</v>
      </c>
      <c r="L136" s="30" t="n">
        <f aca="false">MIN($D$19,J135+K136)</f>
        <v>0</v>
      </c>
      <c r="M136" s="30" t="n">
        <f aca="false">MAX(0,MIN($C$14-(H136+L136+P136+T136+X136+AB136)-(I136),J135+K136-L136))</f>
        <v>0</v>
      </c>
      <c r="N136" s="30" t="n">
        <f aca="false">ROUND(N135+O136-P136-Q136,2)</f>
        <v>0</v>
      </c>
      <c r="O136" s="30" t="n">
        <f aca="false">ROUND(N135*$E$20/12,2)</f>
        <v>0</v>
      </c>
      <c r="P136" s="30" t="n">
        <f aca="false">MIN($D$20,N135+O136)</f>
        <v>0</v>
      </c>
      <c r="Q136" s="30" t="n">
        <f aca="false">MAX(0,MIN($C$14-(H136+L136+P136+T136+X136+AB136)-(I136+M136),N135+O136-P136))</f>
        <v>0</v>
      </c>
      <c r="R136" s="30" t="n">
        <f aca="false">ROUND(R135+S136-T136-U136,2)</f>
        <v>0</v>
      </c>
      <c r="S136" s="30" t="n">
        <f aca="false">ROUND(R135*$E$21/12,2)</f>
        <v>0</v>
      </c>
      <c r="T136" s="30" t="n">
        <f aca="false">MIN($D$21,R135+S136)</f>
        <v>0</v>
      </c>
      <c r="U136" s="30" t="n">
        <f aca="false">MAX(0,MIN($C$14-(H136+L136+P136+T136+X136+AB136)-(I136+M136+Q136),R135+S136-T136))</f>
        <v>0</v>
      </c>
      <c r="V136" s="30" t="n">
        <f aca="false">ROUND(V135+W136-X136-Y136,2)</f>
        <v>0</v>
      </c>
      <c r="W136" s="30" t="n">
        <f aca="false">ROUND(V135*$E$22/12,2)</f>
        <v>0</v>
      </c>
      <c r="X136" s="30" t="n">
        <f aca="false">MIN($D$22,V135+W136)</f>
        <v>0</v>
      </c>
      <c r="Y136" s="30" t="n">
        <f aca="false">MAX(0,MIN($C$14-(H136+L136+P136+T136+X136+AB136)-(I136+M136+Q136+U136),V135+W136-X136))</f>
        <v>0</v>
      </c>
      <c r="Z136" s="30" t="n">
        <f aca="false">ROUND(Z135+AA136-AB136-AC136,2)</f>
        <v>0</v>
      </c>
      <c r="AA136" s="30" t="n">
        <f aca="false">ROUND(Z135*$E$23/12,2)</f>
        <v>0</v>
      </c>
      <c r="AB136" s="30" t="n">
        <f aca="false">MIN($D$23,Z135+AA136)</f>
        <v>0</v>
      </c>
      <c r="AC136" s="30" t="n">
        <f aca="false">MAX(0,MIN($C$14-(H136+L136+P136+T136+X136+AB136)-(I136+M136+Q136+U136+Y136),Z135+AA136-AB136))</f>
        <v>0</v>
      </c>
    </row>
    <row r="137" customFormat="false" ht="15" hidden="false" customHeight="false" outlineLevel="0" collapsed="false">
      <c r="A137" s="29" t="n">
        <v>97</v>
      </c>
      <c r="B137" s="30" t="n">
        <f aca="false">F137+J137+N137+R137+V137+Z137</f>
        <v>0</v>
      </c>
      <c r="C137" s="30" t="n">
        <f aca="false">$C$14-E137</f>
        <v>8050</v>
      </c>
      <c r="D137" s="30" t="n">
        <f aca="false">G137+K137+O137+S137+W137+AA137</f>
        <v>0</v>
      </c>
      <c r="E137" s="30" t="n">
        <f aca="false">H137+I137+L137+M137+P137+Q137+T137+U137+X137+Y137+AB137+AC137</f>
        <v>0</v>
      </c>
      <c r="F137" s="30" t="n">
        <f aca="false">ROUND(F136+G137-H137-I137,2)</f>
        <v>0</v>
      </c>
      <c r="G137" s="30" t="n">
        <f aca="false">ROUND(F136*$E$18/12,2)</f>
        <v>0</v>
      </c>
      <c r="H137" s="30" t="n">
        <f aca="false">MIN($D$18,F136+G137)</f>
        <v>0</v>
      </c>
      <c r="I137" s="30" t="n">
        <f aca="false">MAX(0,MIN($C$14-(H137+L137+P137+T137+X137+AB137)-0,F136+G137-H137))</f>
        <v>0</v>
      </c>
      <c r="J137" s="30" t="n">
        <f aca="false">ROUND(J136+K137-L137-M137,2)</f>
        <v>0</v>
      </c>
      <c r="K137" s="30" t="n">
        <f aca="false">ROUND(J136*$E$19/12,2)</f>
        <v>0</v>
      </c>
      <c r="L137" s="30" t="n">
        <f aca="false">MIN($D$19,J136+K137)</f>
        <v>0</v>
      </c>
      <c r="M137" s="30" t="n">
        <f aca="false">MAX(0,MIN($C$14-(H137+L137+P137+T137+X137+AB137)-(I137),J136+K137-L137))</f>
        <v>0</v>
      </c>
      <c r="N137" s="30" t="n">
        <f aca="false">ROUND(N136+O137-P137-Q137,2)</f>
        <v>0</v>
      </c>
      <c r="O137" s="30" t="n">
        <f aca="false">ROUND(N136*$E$20/12,2)</f>
        <v>0</v>
      </c>
      <c r="P137" s="30" t="n">
        <f aca="false">MIN($D$20,N136+O137)</f>
        <v>0</v>
      </c>
      <c r="Q137" s="30" t="n">
        <f aca="false">MAX(0,MIN($C$14-(H137+L137+P137+T137+X137+AB137)-(I137+M137),N136+O137-P137))</f>
        <v>0</v>
      </c>
      <c r="R137" s="30" t="n">
        <f aca="false">ROUND(R136+S137-T137-U137,2)</f>
        <v>0</v>
      </c>
      <c r="S137" s="30" t="n">
        <f aca="false">ROUND(R136*$E$21/12,2)</f>
        <v>0</v>
      </c>
      <c r="T137" s="30" t="n">
        <f aca="false">MIN($D$21,R136+S137)</f>
        <v>0</v>
      </c>
      <c r="U137" s="30" t="n">
        <f aca="false">MAX(0,MIN($C$14-(H137+L137+P137+T137+X137+AB137)-(I137+M137+Q137),R136+S137-T137))</f>
        <v>0</v>
      </c>
      <c r="V137" s="30" t="n">
        <f aca="false">ROUND(V136+W137-X137-Y137,2)</f>
        <v>0</v>
      </c>
      <c r="W137" s="30" t="n">
        <f aca="false">ROUND(V136*$E$22/12,2)</f>
        <v>0</v>
      </c>
      <c r="X137" s="30" t="n">
        <f aca="false">MIN($D$22,V136+W137)</f>
        <v>0</v>
      </c>
      <c r="Y137" s="30" t="n">
        <f aca="false">MAX(0,MIN($C$14-(H137+L137+P137+T137+X137+AB137)-(I137+M137+Q137+U137),V136+W137-X137))</f>
        <v>0</v>
      </c>
      <c r="Z137" s="30" t="n">
        <f aca="false">ROUND(Z136+AA137-AB137-AC137,2)</f>
        <v>0</v>
      </c>
      <c r="AA137" s="30" t="n">
        <f aca="false">ROUND(Z136*$E$23/12,2)</f>
        <v>0</v>
      </c>
      <c r="AB137" s="30" t="n">
        <f aca="false">MIN($D$23,Z136+AA137)</f>
        <v>0</v>
      </c>
      <c r="AC137" s="30" t="n">
        <f aca="false">MAX(0,MIN($C$14-(H137+L137+P137+T137+X137+AB137)-(I137+M137+Q137+U137+Y137),Z136+AA137-AB137))</f>
        <v>0</v>
      </c>
    </row>
    <row r="138" customFormat="false" ht="15" hidden="false" customHeight="false" outlineLevel="0" collapsed="false">
      <c r="A138" s="29" t="n">
        <v>98</v>
      </c>
      <c r="B138" s="30" t="n">
        <f aca="false">F138+J138+N138+R138+V138+Z138</f>
        <v>0</v>
      </c>
      <c r="C138" s="30" t="n">
        <f aca="false">$C$14-E138</f>
        <v>8050</v>
      </c>
      <c r="D138" s="30" t="n">
        <f aca="false">G138+K138+O138+S138+W138+AA138</f>
        <v>0</v>
      </c>
      <c r="E138" s="30" t="n">
        <f aca="false">H138+I138+L138+M138+P138+Q138+T138+U138+X138+Y138+AB138+AC138</f>
        <v>0</v>
      </c>
      <c r="F138" s="30" t="n">
        <f aca="false">ROUND(F137+G138-H138-I138,2)</f>
        <v>0</v>
      </c>
      <c r="G138" s="30" t="n">
        <f aca="false">ROUND(F137*$E$18/12,2)</f>
        <v>0</v>
      </c>
      <c r="H138" s="30" t="n">
        <f aca="false">MIN($D$18,F137+G138)</f>
        <v>0</v>
      </c>
      <c r="I138" s="30" t="n">
        <f aca="false">MAX(0,MIN($C$14-(H138+L138+P138+T138+X138+AB138)-0,F137+G138-H138))</f>
        <v>0</v>
      </c>
      <c r="J138" s="30" t="n">
        <f aca="false">ROUND(J137+K138-L138-M138,2)</f>
        <v>0</v>
      </c>
      <c r="K138" s="30" t="n">
        <f aca="false">ROUND(J137*$E$19/12,2)</f>
        <v>0</v>
      </c>
      <c r="L138" s="30" t="n">
        <f aca="false">MIN($D$19,J137+K138)</f>
        <v>0</v>
      </c>
      <c r="M138" s="30" t="n">
        <f aca="false">MAX(0,MIN($C$14-(H138+L138+P138+T138+X138+AB138)-(I138),J137+K138-L138))</f>
        <v>0</v>
      </c>
      <c r="N138" s="30" t="n">
        <f aca="false">ROUND(N137+O138-P138-Q138,2)</f>
        <v>0</v>
      </c>
      <c r="O138" s="30" t="n">
        <f aca="false">ROUND(N137*$E$20/12,2)</f>
        <v>0</v>
      </c>
      <c r="P138" s="30" t="n">
        <f aca="false">MIN($D$20,N137+O138)</f>
        <v>0</v>
      </c>
      <c r="Q138" s="30" t="n">
        <f aca="false">MAX(0,MIN($C$14-(H138+L138+P138+T138+X138+AB138)-(I138+M138),N137+O138-P138))</f>
        <v>0</v>
      </c>
      <c r="R138" s="30" t="n">
        <f aca="false">ROUND(R137+S138-T138-U138,2)</f>
        <v>0</v>
      </c>
      <c r="S138" s="30" t="n">
        <f aca="false">ROUND(R137*$E$21/12,2)</f>
        <v>0</v>
      </c>
      <c r="T138" s="30" t="n">
        <f aca="false">MIN($D$21,R137+S138)</f>
        <v>0</v>
      </c>
      <c r="U138" s="30" t="n">
        <f aca="false">MAX(0,MIN($C$14-(H138+L138+P138+T138+X138+AB138)-(I138+M138+Q138),R137+S138-T138))</f>
        <v>0</v>
      </c>
      <c r="V138" s="30" t="n">
        <f aca="false">ROUND(V137+W138-X138-Y138,2)</f>
        <v>0</v>
      </c>
      <c r="W138" s="30" t="n">
        <f aca="false">ROUND(V137*$E$22/12,2)</f>
        <v>0</v>
      </c>
      <c r="X138" s="30" t="n">
        <f aca="false">MIN($D$22,V137+W138)</f>
        <v>0</v>
      </c>
      <c r="Y138" s="30" t="n">
        <f aca="false">MAX(0,MIN($C$14-(H138+L138+P138+T138+X138+AB138)-(I138+M138+Q138+U138),V137+W138-X138))</f>
        <v>0</v>
      </c>
      <c r="Z138" s="30" t="n">
        <f aca="false">ROUND(Z137+AA138-AB138-AC138,2)</f>
        <v>0</v>
      </c>
      <c r="AA138" s="30" t="n">
        <f aca="false">ROUND(Z137*$E$23/12,2)</f>
        <v>0</v>
      </c>
      <c r="AB138" s="30" t="n">
        <f aca="false">MIN($D$23,Z137+AA138)</f>
        <v>0</v>
      </c>
      <c r="AC138" s="30" t="n">
        <f aca="false">MAX(0,MIN($C$14-(H138+L138+P138+T138+X138+AB138)-(I138+M138+Q138+U138+Y138),Z137+AA138-AB138))</f>
        <v>0</v>
      </c>
    </row>
    <row r="139" customFormat="false" ht="15" hidden="false" customHeight="false" outlineLevel="0" collapsed="false">
      <c r="A139" s="29" t="n">
        <v>99</v>
      </c>
      <c r="B139" s="30" t="n">
        <f aca="false">F139+J139+N139+R139+V139+Z139</f>
        <v>0</v>
      </c>
      <c r="C139" s="30" t="n">
        <f aca="false">$C$14-E139</f>
        <v>8050</v>
      </c>
      <c r="D139" s="30" t="n">
        <f aca="false">G139+K139+O139+S139+W139+AA139</f>
        <v>0</v>
      </c>
      <c r="E139" s="30" t="n">
        <f aca="false">H139+I139+L139+M139+P139+Q139+T139+U139+X139+Y139+AB139+AC139</f>
        <v>0</v>
      </c>
      <c r="F139" s="30" t="n">
        <f aca="false">ROUND(F138+G139-H139-I139,2)</f>
        <v>0</v>
      </c>
      <c r="G139" s="30" t="n">
        <f aca="false">ROUND(F138*$E$18/12,2)</f>
        <v>0</v>
      </c>
      <c r="H139" s="30" t="n">
        <f aca="false">MIN($D$18,F138+G139)</f>
        <v>0</v>
      </c>
      <c r="I139" s="30" t="n">
        <f aca="false">MAX(0,MIN($C$14-(H139+L139+P139+T139+X139+AB139)-0,F138+G139-H139))</f>
        <v>0</v>
      </c>
      <c r="J139" s="30" t="n">
        <f aca="false">ROUND(J138+K139-L139-M139,2)</f>
        <v>0</v>
      </c>
      <c r="K139" s="30" t="n">
        <f aca="false">ROUND(J138*$E$19/12,2)</f>
        <v>0</v>
      </c>
      <c r="L139" s="30" t="n">
        <f aca="false">MIN($D$19,J138+K139)</f>
        <v>0</v>
      </c>
      <c r="M139" s="30" t="n">
        <f aca="false">MAX(0,MIN($C$14-(H139+L139+P139+T139+X139+AB139)-(I139),J138+K139-L139))</f>
        <v>0</v>
      </c>
      <c r="N139" s="30" t="n">
        <f aca="false">ROUND(N138+O139-P139-Q139,2)</f>
        <v>0</v>
      </c>
      <c r="O139" s="30" t="n">
        <f aca="false">ROUND(N138*$E$20/12,2)</f>
        <v>0</v>
      </c>
      <c r="P139" s="30" t="n">
        <f aca="false">MIN($D$20,N138+O139)</f>
        <v>0</v>
      </c>
      <c r="Q139" s="30" t="n">
        <f aca="false">MAX(0,MIN($C$14-(H139+L139+P139+T139+X139+AB139)-(I139+M139),N138+O139-P139))</f>
        <v>0</v>
      </c>
      <c r="R139" s="30" t="n">
        <f aca="false">ROUND(R138+S139-T139-U139,2)</f>
        <v>0</v>
      </c>
      <c r="S139" s="30" t="n">
        <f aca="false">ROUND(R138*$E$21/12,2)</f>
        <v>0</v>
      </c>
      <c r="T139" s="30" t="n">
        <f aca="false">MIN($D$21,R138+S139)</f>
        <v>0</v>
      </c>
      <c r="U139" s="30" t="n">
        <f aca="false">MAX(0,MIN($C$14-(H139+L139+P139+T139+X139+AB139)-(I139+M139+Q139),R138+S139-T139))</f>
        <v>0</v>
      </c>
      <c r="V139" s="30" t="n">
        <f aca="false">ROUND(V138+W139-X139-Y139,2)</f>
        <v>0</v>
      </c>
      <c r="W139" s="30" t="n">
        <f aca="false">ROUND(V138*$E$22/12,2)</f>
        <v>0</v>
      </c>
      <c r="X139" s="30" t="n">
        <f aca="false">MIN($D$22,V138+W139)</f>
        <v>0</v>
      </c>
      <c r="Y139" s="30" t="n">
        <f aca="false">MAX(0,MIN($C$14-(H139+L139+P139+T139+X139+AB139)-(I139+M139+Q139+U139),V138+W139-X139))</f>
        <v>0</v>
      </c>
      <c r="Z139" s="30" t="n">
        <f aca="false">ROUND(Z138+AA139-AB139-AC139,2)</f>
        <v>0</v>
      </c>
      <c r="AA139" s="30" t="n">
        <f aca="false">ROUND(Z138*$E$23/12,2)</f>
        <v>0</v>
      </c>
      <c r="AB139" s="30" t="n">
        <f aca="false">MIN($D$23,Z138+AA139)</f>
        <v>0</v>
      </c>
      <c r="AC139" s="30" t="n">
        <f aca="false">MAX(0,MIN($C$14-(H139+L139+P139+T139+X139+AB139)-(I139+M139+Q139+U139+Y139),Z138+AA139-AB139))</f>
        <v>0</v>
      </c>
    </row>
    <row r="140" customFormat="false" ht="15" hidden="false" customHeight="false" outlineLevel="0" collapsed="false">
      <c r="A140" s="29" t="n">
        <v>100</v>
      </c>
      <c r="B140" s="30" t="n">
        <f aca="false">F140+J140+N140+R140+V140+Z140</f>
        <v>0</v>
      </c>
      <c r="C140" s="30" t="n">
        <f aca="false">$C$14-E140</f>
        <v>8050</v>
      </c>
      <c r="D140" s="30" t="n">
        <f aca="false">G140+K140+O140+S140+W140+AA140</f>
        <v>0</v>
      </c>
      <c r="E140" s="30" t="n">
        <f aca="false">H140+I140+L140+M140+P140+Q140+T140+U140+X140+Y140+AB140+AC140</f>
        <v>0</v>
      </c>
      <c r="F140" s="30" t="n">
        <f aca="false">ROUND(F139+G140-H140-I140,2)</f>
        <v>0</v>
      </c>
      <c r="G140" s="30" t="n">
        <f aca="false">ROUND(F139*$E$18/12,2)</f>
        <v>0</v>
      </c>
      <c r="H140" s="30" t="n">
        <f aca="false">MIN($D$18,F139+G140)</f>
        <v>0</v>
      </c>
      <c r="I140" s="30" t="n">
        <f aca="false">MAX(0,MIN($C$14-(H140+L140+P140+T140+X140+AB140)-0,F139+G140-H140))</f>
        <v>0</v>
      </c>
      <c r="J140" s="30" t="n">
        <f aca="false">ROUND(J139+K140-L140-M140,2)</f>
        <v>0</v>
      </c>
      <c r="K140" s="30" t="n">
        <f aca="false">ROUND(J139*$E$19/12,2)</f>
        <v>0</v>
      </c>
      <c r="L140" s="30" t="n">
        <f aca="false">MIN($D$19,J139+K140)</f>
        <v>0</v>
      </c>
      <c r="M140" s="30" t="n">
        <f aca="false">MAX(0,MIN($C$14-(H140+L140+P140+T140+X140+AB140)-(I140),J139+K140-L140))</f>
        <v>0</v>
      </c>
      <c r="N140" s="30" t="n">
        <f aca="false">ROUND(N139+O140-P140-Q140,2)</f>
        <v>0</v>
      </c>
      <c r="O140" s="30" t="n">
        <f aca="false">ROUND(N139*$E$20/12,2)</f>
        <v>0</v>
      </c>
      <c r="P140" s="30" t="n">
        <f aca="false">MIN($D$20,N139+O140)</f>
        <v>0</v>
      </c>
      <c r="Q140" s="30" t="n">
        <f aca="false">MAX(0,MIN($C$14-(H140+L140+P140+T140+X140+AB140)-(I140+M140),N139+O140-P140))</f>
        <v>0</v>
      </c>
      <c r="R140" s="30" t="n">
        <f aca="false">ROUND(R139+S140-T140-U140,2)</f>
        <v>0</v>
      </c>
      <c r="S140" s="30" t="n">
        <f aca="false">ROUND(R139*$E$21/12,2)</f>
        <v>0</v>
      </c>
      <c r="T140" s="30" t="n">
        <f aca="false">MIN($D$21,R139+S140)</f>
        <v>0</v>
      </c>
      <c r="U140" s="30" t="n">
        <f aca="false">MAX(0,MIN($C$14-(H140+L140+P140+T140+X140+AB140)-(I140+M140+Q140),R139+S140-T140))</f>
        <v>0</v>
      </c>
      <c r="V140" s="30" t="n">
        <f aca="false">ROUND(V139+W140-X140-Y140,2)</f>
        <v>0</v>
      </c>
      <c r="W140" s="30" t="n">
        <f aca="false">ROUND(V139*$E$22/12,2)</f>
        <v>0</v>
      </c>
      <c r="X140" s="30" t="n">
        <f aca="false">MIN($D$22,V139+W140)</f>
        <v>0</v>
      </c>
      <c r="Y140" s="30" t="n">
        <f aca="false">MAX(0,MIN($C$14-(H140+L140+P140+T140+X140+AB140)-(I140+M140+Q140+U140),V139+W140-X140))</f>
        <v>0</v>
      </c>
      <c r="Z140" s="30" t="n">
        <f aca="false">ROUND(Z139+AA140-AB140-AC140,2)</f>
        <v>0</v>
      </c>
      <c r="AA140" s="30" t="n">
        <f aca="false">ROUND(Z139*$E$23/12,2)</f>
        <v>0</v>
      </c>
      <c r="AB140" s="30" t="n">
        <f aca="false">MIN($D$23,Z139+AA140)</f>
        <v>0</v>
      </c>
      <c r="AC140" s="30" t="n">
        <f aca="false">MAX(0,MIN($C$14-(H140+L140+P140+T140+X140+AB140)-(I140+M140+Q140+U140+Y140),Z139+AA140-AB140))</f>
        <v>0</v>
      </c>
    </row>
    <row r="141" customFormat="false" ht="15" hidden="false" customHeight="false" outlineLevel="0" collapsed="false">
      <c r="A141" s="29" t="n">
        <v>101</v>
      </c>
      <c r="B141" s="30" t="n">
        <f aca="false">F141+J141+N141+R141+V141+Z141</f>
        <v>0</v>
      </c>
      <c r="C141" s="30" t="n">
        <f aca="false">$C$14-E141</f>
        <v>8050</v>
      </c>
      <c r="D141" s="30" t="n">
        <f aca="false">G141+K141+O141+S141+W141+AA141</f>
        <v>0</v>
      </c>
      <c r="E141" s="30" t="n">
        <f aca="false">H141+I141+L141+M141+P141+Q141+T141+U141+X141+Y141+AB141+AC141</f>
        <v>0</v>
      </c>
      <c r="F141" s="30" t="n">
        <f aca="false">ROUND(F140+G141-H141-I141,2)</f>
        <v>0</v>
      </c>
      <c r="G141" s="30" t="n">
        <f aca="false">ROUND(F140*$E$18/12,2)</f>
        <v>0</v>
      </c>
      <c r="H141" s="30" t="n">
        <f aca="false">MIN($D$18,F140+G141)</f>
        <v>0</v>
      </c>
      <c r="I141" s="30" t="n">
        <f aca="false">MAX(0,MIN($C$14-(H141+L141+P141+T141+X141+AB141)-0,F140+G141-H141))</f>
        <v>0</v>
      </c>
      <c r="J141" s="30" t="n">
        <f aca="false">ROUND(J140+K141-L141-M141,2)</f>
        <v>0</v>
      </c>
      <c r="K141" s="30" t="n">
        <f aca="false">ROUND(J140*$E$19/12,2)</f>
        <v>0</v>
      </c>
      <c r="L141" s="30" t="n">
        <f aca="false">MIN($D$19,J140+K141)</f>
        <v>0</v>
      </c>
      <c r="M141" s="30" t="n">
        <f aca="false">MAX(0,MIN($C$14-(H141+L141+P141+T141+X141+AB141)-(I141),J140+K141-L141))</f>
        <v>0</v>
      </c>
      <c r="N141" s="30" t="n">
        <f aca="false">ROUND(N140+O141-P141-Q141,2)</f>
        <v>0</v>
      </c>
      <c r="O141" s="30" t="n">
        <f aca="false">ROUND(N140*$E$20/12,2)</f>
        <v>0</v>
      </c>
      <c r="P141" s="30" t="n">
        <f aca="false">MIN($D$20,N140+O141)</f>
        <v>0</v>
      </c>
      <c r="Q141" s="30" t="n">
        <f aca="false">MAX(0,MIN($C$14-(H141+L141+P141+T141+X141+AB141)-(I141+M141),N140+O141-P141))</f>
        <v>0</v>
      </c>
      <c r="R141" s="30" t="n">
        <f aca="false">ROUND(R140+S141-T141-U141,2)</f>
        <v>0</v>
      </c>
      <c r="S141" s="30" t="n">
        <f aca="false">ROUND(R140*$E$21/12,2)</f>
        <v>0</v>
      </c>
      <c r="T141" s="30" t="n">
        <f aca="false">MIN($D$21,R140+S141)</f>
        <v>0</v>
      </c>
      <c r="U141" s="30" t="n">
        <f aca="false">MAX(0,MIN($C$14-(H141+L141+P141+T141+X141+AB141)-(I141+M141+Q141),R140+S141-T141))</f>
        <v>0</v>
      </c>
      <c r="V141" s="30" t="n">
        <f aca="false">ROUND(V140+W141-X141-Y141,2)</f>
        <v>0</v>
      </c>
      <c r="W141" s="30" t="n">
        <f aca="false">ROUND(V140*$E$22/12,2)</f>
        <v>0</v>
      </c>
      <c r="X141" s="30" t="n">
        <f aca="false">MIN($D$22,V140+W141)</f>
        <v>0</v>
      </c>
      <c r="Y141" s="30" t="n">
        <f aca="false">MAX(0,MIN($C$14-(H141+L141+P141+T141+X141+AB141)-(I141+M141+Q141+U141),V140+W141-X141))</f>
        <v>0</v>
      </c>
      <c r="Z141" s="30" t="n">
        <f aca="false">ROUND(Z140+AA141-AB141-AC141,2)</f>
        <v>0</v>
      </c>
      <c r="AA141" s="30" t="n">
        <f aca="false">ROUND(Z140*$E$23/12,2)</f>
        <v>0</v>
      </c>
      <c r="AB141" s="30" t="n">
        <f aca="false">MIN($D$23,Z140+AA141)</f>
        <v>0</v>
      </c>
      <c r="AC141" s="30" t="n">
        <f aca="false">MAX(0,MIN($C$14-(H141+L141+P141+T141+X141+AB141)-(I141+M141+Q141+U141+Y141),Z140+AA141-AB141))</f>
        <v>0</v>
      </c>
    </row>
    <row r="142" customFormat="false" ht="15" hidden="false" customHeight="false" outlineLevel="0" collapsed="false">
      <c r="A142" s="29" t="n">
        <v>102</v>
      </c>
      <c r="B142" s="30" t="n">
        <f aca="false">F142+J142+N142+R142+V142+Z142</f>
        <v>0</v>
      </c>
      <c r="C142" s="30" t="n">
        <f aca="false">$C$14-E142</f>
        <v>8050</v>
      </c>
      <c r="D142" s="30" t="n">
        <f aca="false">G142+K142+O142+S142+W142+AA142</f>
        <v>0</v>
      </c>
      <c r="E142" s="30" t="n">
        <f aca="false">H142+I142+L142+M142+P142+Q142+T142+U142+X142+Y142+AB142+AC142</f>
        <v>0</v>
      </c>
      <c r="F142" s="30" t="n">
        <f aca="false">ROUND(F141+G142-H142-I142,2)</f>
        <v>0</v>
      </c>
      <c r="G142" s="30" t="n">
        <f aca="false">ROUND(F141*$E$18/12,2)</f>
        <v>0</v>
      </c>
      <c r="H142" s="30" t="n">
        <f aca="false">MIN($D$18,F141+G142)</f>
        <v>0</v>
      </c>
      <c r="I142" s="30" t="n">
        <f aca="false">MAX(0,MIN($C$14-(H142+L142+P142+T142+X142+AB142)-0,F141+G142-H142))</f>
        <v>0</v>
      </c>
      <c r="J142" s="30" t="n">
        <f aca="false">ROUND(J141+K142-L142-M142,2)</f>
        <v>0</v>
      </c>
      <c r="K142" s="30" t="n">
        <f aca="false">ROUND(J141*$E$19/12,2)</f>
        <v>0</v>
      </c>
      <c r="L142" s="30" t="n">
        <f aca="false">MIN($D$19,J141+K142)</f>
        <v>0</v>
      </c>
      <c r="M142" s="30" t="n">
        <f aca="false">MAX(0,MIN($C$14-(H142+L142+P142+T142+X142+AB142)-(I142),J141+K142-L142))</f>
        <v>0</v>
      </c>
      <c r="N142" s="30" t="n">
        <f aca="false">ROUND(N141+O142-P142-Q142,2)</f>
        <v>0</v>
      </c>
      <c r="O142" s="30" t="n">
        <f aca="false">ROUND(N141*$E$20/12,2)</f>
        <v>0</v>
      </c>
      <c r="P142" s="30" t="n">
        <f aca="false">MIN($D$20,N141+O142)</f>
        <v>0</v>
      </c>
      <c r="Q142" s="30" t="n">
        <f aca="false">MAX(0,MIN($C$14-(H142+L142+P142+T142+X142+AB142)-(I142+M142),N141+O142-P142))</f>
        <v>0</v>
      </c>
      <c r="R142" s="30" t="n">
        <f aca="false">ROUND(R141+S142-T142-U142,2)</f>
        <v>0</v>
      </c>
      <c r="S142" s="30" t="n">
        <f aca="false">ROUND(R141*$E$21/12,2)</f>
        <v>0</v>
      </c>
      <c r="T142" s="30" t="n">
        <f aca="false">MIN($D$21,R141+S142)</f>
        <v>0</v>
      </c>
      <c r="U142" s="30" t="n">
        <f aca="false">MAX(0,MIN($C$14-(H142+L142+P142+T142+X142+AB142)-(I142+M142+Q142),R141+S142-T142))</f>
        <v>0</v>
      </c>
      <c r="V142" s="30" t="n">
        <f aca="false">ROUND(V141+W142-X142-Y142,2)</f>
        <v>0</v>
      </c>
      <c r="W142" s="30" t="n">
        <f aca="false">ROUND(V141*$E$22/12,2)</f>
        <v>0</v>
      </c>
      <c r="X142" s="30" t="n">
        <f aca="false">MIN($D$22,V141+W142)</f>
        <v>0</v>
      </c>
      <c r="Y142" s="30" t="n">
        <f aca="false">MAX(0,MIN($C$14-(H142+L142+P142+T142+X142+AB142)-(I142+M142+Q142+U142),V141+W142-X142))</f>
        <v>0</v>
      </c>
      <c r="Z142" s="30" t="n">
        <f aca="false">ROUND(Z141+AA142-AB142-AC142,2)</f>
        <v>0</v>
      </c>
      <c r="AA142" s="30" t="n">
        <f aca="false">ROUND(Z141*$E$23/12,2)</f>
        <v>0</v>
      </c>
      <c r="AB142" s="30" t="n">
        <f aca="false">MIN($D$23,Z141+AA142)</f>
        <v>0</v>
      </c>
      <c r="AC142" s="30" t="n">
        <f aca="false">MAX(0,MIN($C$14-(H142+L142+P142+T142+X142+AB142)-(I142+M142+Q142+U142+Y142),Z141+AA142-AB142))</f>
        <v>0</v>
      </c>
    </row>
    <row r="143" customFormat="false" ht="15" hidden="false" customHeight="false" outlineLevel="0" collapsed="false">
      <c r="A143" s="29" t="n">
        <v>103</v>
      </c>
      <c r="B143" s="30" t="n">
        <f aca="false">F143+J143+N143+R143+V143+Z143</f>
        <v>0</v>
      </c>
      <c r="C143" s="30" t="n">
        <f aca="false">$C$14-E143</f>
        <v>8050</v>
      </c>
      <c r="D143" s="30" t="n">
        <f aca="false">G143+K143+O143+S143+W143+AA143</f>
        <v>0</v>
      </c>
      <c r="E143" s="30" t="n">
        <f aca="false">H143+I143+L143+M143+P143+Q143+T143+U143+X143+Y143+AB143+AC143</f>
        <v>0</v>
      </c>
      <c r="F143" s="30" t="n">
        <f aca="false">ROUND(F142+G143-H143-I143,2)</f>
        <v>0</v>
      </c>
      <c r="G143" s="30" t="n">
        <f aca="false">ROUND(F142*$E$18/12,2)</f>
        <v>0</v>
      </c>
      <c r="H143" s="30" t="n">
        <f aca="false">MIN($D$18,F142+G143)</f>
        <v>0</v>
      </c>
      <c r="I143" s="30" t="n">
        <f aca="false">MAX(0,MIN($C$14-(H143+L143+P143+T143+X143+AB143)-0,F142+G143-H143))</f>
        <v>0</v>
      </c>
      <c r="J143" s="30" t="n">
        <f aca="false">ROUND(J142+K143-L143-M143,2)</f>
        <v>0</v>
      </c>
      <c r="K143" s="30" t="n">
        <f aca="false">ROUND(J142*$E$19/12,2)</f>
        <v>0</v>
      </c>
      <c r="L143" s="30" t="n">
        <f aca="false">MIN($D$19,J142+K143)</f>
        <v>0</v>
      </c>
      <c r="M143" s="30" t="n">
        <f aca="false">MAX(0,MIN($C$14-(H143+L143+P143+T143+X143+AB143)-(I143),J142+K143-L143))</f>
        <v>0</v>
      </c>
      <c r="N143" s="30" t="n">
        <f aca="false">ROUND(N142+O143-P143-Q143,2)</f>
        <v>0</v>
      </c>
      <c r="O143" s="30" t="n">
        <f aca="false">ROUND(N142*$E$20/12,2)</f>
        <v>0</v>
      </c>
      <c r="P143" s="30" t="n">
        <f aca="false">MIN($D$20,N142+O143)</f>
        <v>0</v>
      </c>
      <c r="Q143" s="30" t="n">
        <f aca="false">MAX(0,MIN($C$14-(H143+L143+P143+T143+X143+AB143)-(I143+M143),N142+O143-P143))</f>
        <v>0</v>
      </c>
      <c r="R143" s="30" t="n">
        <f aca="false">ROUND(R142+S143-T143-U143,2)</f>
        <v>0</v>
      </c>
      <c r="S143" s="30" t="n">
        <f aca="false">ROUND(R142*$E$21/12,2)</f>
        <v>0</v>
      </c>
      <c r="T143" s="30" t="n">
        <f aca="false">MIN($D$21,R142+S143)</f>
        <v>0</v>
      </c>
      <c r="U143" s="30" t="n">
        <f aca="false">MAX(0,MIN($C$14-(H143+L143+P143+T143+X143+AB143)-(I143+M143+Q143),R142+S143-T143))</f>
        <v>0</v>
      </c>
      <c r="V143" s="30" t="n">
        <f aca="false">ROUND(V142+W143-X143-Y143,2)</f>
        <v>0</v>
      </c>
      <c r="W143" s="30" t="n">
        <f aca="false">ROUND(V142*$E$22/12,2)</f>
        <v>0</v>
      </c>
      <c r="X143" s="30" t="n">
        <f aca="false">MIN($D$22,V142+W143)</f>
        <v>0</v>
      </c>
      <c r="Y143" s="30" t="n">
        <f aca="false">MAX(0,MIN($C$14-(H143+L143+P143+T143+X143+AB143)-(I143+M143+Q143+U143),V142+W143-X143))</f>
        <v>0</v>
      </c>
      <c r="Z143" s="30" t="n">
        <f aca="false">ROUND(Z142+AA143-AB143-AC143,2)</f>
        <v>0</v>
      </c>
      <c r="AA143" s="30" t="n">
        <f aca="false">ROUND(Z142*$E$23/12,2)</f>
        <v>0</v>
      </c>
      <c r="AB143" s="30" t="n">
        <f aca="false">MIN($D$23,Z142+AA143)</f>
        <v>0</v>
      </c>
      <c r="AC143" s="30" t="n">
        <f aca="false">MAX(0,MIN($C$14-(H143+L143+P143+T143+X143+AB143)-(I143+M143+Q143+U143+Y143),Z142+AA143-AB143))</f>
        <v>0</v>
      </c>
    </row>
    <row r="144" customFormat="false" ht="15" hidden="false" customHeight="false" outlineLevel="0" collapsed="false">
      <c r="A144" s="29" t="n">
        <v>104</v>
      </c>
      <c r="B144" s="30" t="n">
        <f aca="false">F144+J144+N144+R144+V144+Z144</f>
        <v>0</v>
      </c>
      <c r="C144" s="30" t="n">
        <f aca="false">$C$14-E144</f>
        <v>8050</v>
      </c>
      <c r="D144" s="30" t="n">
        <f aca="false">G144+K144+O144+S144+W144+AA144</f>
        <v>0</v>
      </c>
      <c r="E144" s="30" t="n">
        <f aca="false">H144+I144+L144+M144+P144+Q144+T144+U144+X144+Y144+AB144+AC144</f>
        <v>0</v>
      </c>
      <c r="F144" s="30" t="n">
        <f aca="false">ROUND(F143+G144-H144-I144,2)</f>
        <v>0</v>
      </c>
      <c r="G144" s="30" t="n">
        <f aca="false">ROUND(F143*$E$18/12,2)</f>
        <v>0</v>
      </c>
      <c r="H144" s="30" t="n">
        <f aca="false">MIN($D$18,F143+G144)</f>
        <v>0</v>
      </c>
      <c r="I144" s="30" t="n">
        <f aca="false">MAX(0,MIN($C$14-(H144+L144+P144+T144+X144+AB144)-0,F143+G144-H144))</f>
        <v>0</v>
      </c>
      <c r="J144" s="30" t="n">
        <f aca="false">ROUND(J143+K144-L144-M144,2)</f>
        <v>0</v>
      </c>
      <c r="K144" s="30" t="n">
        <f aca="false">ROUND(J143*$E$19/12,2)</f>
        <v>0</v>
      </c>
      <c r="L144" s="30" t="n">
        <f aca="false">MIN($D$19,J143+K144)</f>
        <v>0</v>
      </c>
      <c r="M144" s="30" t="n">
        <f aca="false">MAX(0,MIN($C$14-(H144+L144+P144+T144+X144+AB144)-(I144),J143+K144-L144))</f>
        <v>0</v>
      </c>
      <c r="N144" s="30" t="n">
        <f aca="false">ROUND(N143+O144-P144-Q144,2)</f>
        <v>0</v>
      </c>
      <c r="O144" s="30" t="n">
        <f aca="false">ROUND(N143*$E$20/12,2)</f>
        <v>0</v>
      </c>
      <c r="P144" s="30" t="n">
        <f aca="false">MIN($D$20,N143+O144)</f>
        <v>0</v>
      </c>
      <c r="Q144" s="30" t="n">
        <f aca="false">MAX(0,MIN($C$14-(H144+L144+P144+T144+X144+AB144)-(I144+M144),N143+O144-P144))</f>
        <v>0</v>
      </c>
      <c r="R144" s="30" t="n">
        <f aca="false">ROUND(R143+S144-T144-U144,2)</f>
        <v>0</v>
      </c>
      <c r="S144" s="30" t="n">
        <f aca="false">ROUND(R143*$E$21/12,2)</f>
        <v>0</v>
      </c>
      <c r="T144" s="30" t="n">
        <f aca="false">MIN($D$21,R143+S144)</f>
        <v>0</v>
      </c>
      <c r="U144" s="30" t="n">
        <f aca="false">MAX(0,MIN($C$14-(H144+L144+P144+T144+X144+AB144)-(I144+M144+Q144),R143+S144-T144))</f>
        <v>0</v>
      </c>
      <c r="V144" s="30" t="n">
        <f aca="false">ROUND(V143+W144-X144-Y144,2)</f>
        <v>0</v>
      </c>
      <c r="W144" s="30" t="n">
        <f aca="false">ROUND(V143*$E$22/12,2)</f>
        <v>0</v>
      </c>
      <c r="X144" s="30" t="n">
        <f aca="false">MIN($D$22,V143+W144)</f>
        <v>0</v>
      </c>
      <c r="Y144" s="30" t="n">
        <f aca="false">MAX(0,MIN($C$14-(H144+L144+P144+T144+X144+AB144)-(I144+M144+Q144+U144),V143+W144-X144))</f>
        <v>0</v>
      </c>
      <c r="Z144" s="30" t="n">
        <f aca="false">ROUND(Z143+AA144-AB144-AC144,2)</f>
        <v>0</v>
      </c>
      <c r="AA144" s="30" t="n">
        <f aca="false">ROUND(Z143*$E$23/12,2)</f>
        <v>0</v>
      </c>
      <c r="AB144" s="30" t="n">
        <f aca="false">MIN($D$23,Z143+AA144)</f>
        <v>0</v>
      </c>
      <c r="AC144" s="30" t="n">
        <f aca="false">MAX(0,MIN($C$14-(H144+L144+P144+T144+X144+AB144)-(I144+M144+Q144+U144+Y144),Z143+AA144-AB144))</f>
        <v>0</v>
      </c>
    </row>
    <row r="145" customFormat="false" ht="15" hidden="false" customHeight="false" outlineLevel="0" collapsed="false">
      <c r="A145" s="29" t="n">
        <v>105</v>
      </c>
      <c r="B145" s="30" t="n">
        <f aca="false">F145+J145+N145+R145+V145+Z145</f>
        <v>0</v>
      </c>
      <c r="C145" s="30" t="n">
        <f aca="false">$C$14-E145</f>
        <v>8050</v>
      </c>
      <c r="D145" s="30" t="n">
        <f aca="false">G145+K145+O145+S145+W145+AA145</f>
        <v>0</v>
      </c>
      <c r="E145" s="30" t="n">
        <f aca="false">H145+I145+L145+M145+P145+Q145+T145+U145+X145+Y145+AB145+AC145</f>
        <v>0</v>
      </c>
      <c r="F145" s="30" t="n">
        <f aca="false">ROUND(F144+G145-H145-I145,2)</f>
        <v>0</v>
      </c>
      <c r="G145" s="30" t="n">
        <f aca="false">ROUND(F144*$E$18/12,2)</f>
        <v>0</v>
      </c>
      <c r="H145" s="30" t="n">
        <f aca="false">MIN($D$18,F144+G145)</f>
        <v>0</v>
      </c>
      <c r="I145" s="30" t="n">
        <f aca="false">MAX(0,MIN($C$14-(H145+L145+P145+T145+X145+AB145)-0,F144+G145-H145))</f>
        <v>0</v>
      </c>
      <c r="J145" s="30" t="n">
        <f aca="false">ROUND(J144+K145-L145-M145,2)</f>
        <v>0</v>
      </c>
      <c r="K145" s="30" t="n">
        <f aca="false">ROUND(J144*$E$19/12,2)</f>
        <v>0</v>
      </c>
      <c r="L145" s="30" t="n">
        <f aca="false">MIN($D$19,J144+K145)</f>
        <v>0</v>
      </c>
      <c r="M145" s="30" t="n">
        <f aca="false">MAX(0,MIN($C$14-(H145+L145+P145+T145+X145+AB145)-(I145),J144+K145-L145))</f>
        <v>0</v>
      </c>
      <c r="N145" s="30" t="n">
        <f aca="false">ROUND(N144+O145-P145-Q145,2)</f>
        <v>0</v>
      </c>
      <c r="O145" s="30" t="n">
        <f aca="false">ROUND(N144*$E$20/12,2)</f>
        <v>0</v>
      </c>
      <c r="P145" s="30" t="n">
        <f aca="false">MIN($D$20,N144+O145)</f>
        <v>0</v>
      </c>
      <c r="Q145" s="30" t="n">
        <f aca="false">MAX(0,MIN($C$14-(H145+L145+P145+T145+X145+AB145)-(I145+M145),N144+O145-P145))</f>
        <v>0</v>
      </c>
      <c r="R145" s="30" t="n">
        <f aca="false">ROUND(R144+S145-T145-U145,2)</f>
        <v>0</v>
      </c>
      <c r="S145" s="30" t="n">
        <f aca="false">ROUND(R144*$E$21/12,2)</f>
        <v>0</v>
      </c>
      <c r="T145" s="30" t="n">
        <f aca="false">MIN($D$21,R144+S145)</f>
        <v>0</v>
      </c>
      <c r="U145" s="30" t="n">
        <f aca="false">MAX(0,MIN($C$14-(H145+L145+P145+T145+X145+AB145)-(I145+M145+Q145),R144+S145-T145))</f>
        <v>0</v>
      </c>
      <c r="V145" s="30" t="n">
        <f aca="false">ROUND(V144+W145-X145-Y145,2)</f>
        <v>0</v>
      </c>
      <c r="W145" s="30" t="n">
        <f aca="false">ROUND(V144*$E$22/12,2)</f>
        <v>0</v>
      </c>
      <c r="X145" s="30" t="n">
        <f aca="false">MIN($D$22,V144+W145)</f>
        <v>0</v>
      </c>
      <c r="Y145" s="30" t="n">
        <f aca="false">MAX(0,MIN($C$14-(H145+L145+P145+T145+X145+AB145)-(I145+M145+Q145+U145),V144+W145-X145))</f>
        <v>0</v>
      </c>
      <c r="Z145" s="30" t="n">
        <f aca="false">ROUND(Z144+AA145-AB145-AC145,2)</f>
        <v>0</v>
      </c>
      <c r="AA145" s="30" t="n">
        <f aca="false">ROUND(Z144*$E$23/12,2)</f>
        <v>0</v>
      </c>
      <c r="AB145" s="30" t="n">
        <f aca="false">MIN($D$23,Z144+AA145)</f>
        <v>0</v>
      </c>
      <c r="AC145" s="30" t="n">
        <f aca="false">MAX(0,MIN($C$14-(H145+L145+P145+T145+X145+AB145)-(I145+M145+Q145+U145+Y145),Z144+AA145-AB145))</f>
        <v>0</v>
      </c>
    </row>
    <row r="146" customFormat="false" ht="15" hidden="false" customHeight="false" outlineLevel="0" collapsed="false">
      <c r="A146" s="29" t="n">
        <v>106</v>
      </c>
      <c r="B146" s="30" t="n">
        <f aca="false">F146+J146+N146+R146+V146+Z146</f>
        <v>0</v>
      </c>
      <c r="C146" s="30" t="n">
        <f aca="false">$C$14-E146</f>
        <v>8050</v>
      </c>
      <c r="D146" s="30" t="n">
        <f aca="false">G146+K146+O146+S146+W146+AA146</f>
        <v>0</v>
      </c>
      <c r="E146" s="30" t="n">
        <f aca="false">H146+I146+L146+M146+P146+Q146+T146+U146+X146+Y146+AB146+AC146</f>
        <v>0</v>
      </c>
      <c r="F146" s="30" t="n">
        <f aca="false">ROUND(F145+G146-H146-I146,2)</f>
        <v>0</v>
      </c>
      <c r="G146" s="30" t="n">
        <f aca="false">ROUND(F145*$E$18/12,2)</f>
        <v>0</v>
      </c>
      <c r="H146" s="30" t="n">
        <f aca="false">MIN($D$18,F145+G146)</f>
        <v>0</v>
      </c>
      <c r="I146" s="30" t="n">
        <f aca="false">MAX(0,MIN($C$14-(H146+L146+P146+T146+X146+AB146)-0,F145+G146-H146))</f>
        <v>0</v>
      </c>
      <c r="J146" s="30" t="n">
        <f aca="false">ROUND(J145+K146-L146-M146,2)</f>
        <v>0</v>
      </c>
      <c r="K146" s="30" t="n">
        <f aca="false">ROUND(J145*$E$19/12,2)</f>
        <v>0</v>
      </c>
      <c r="L146" s="30" t="n">
        <f aca="false">MIN($D$19,J145+K146)</f>
        <v>0</v>
      </c>
      <c r="M146" s="30" t="n">
        <f aca="false">MAX(0,MIN($C$14-(H146+L146+P146+T146+X146+AB146)-(I146),J145+K146-L146))</f>
        <v>0</v>
      </c>
      <c r="N146" s="30" t="n">
        <f aca="false">ROUND(N145+O146-P146-Q146,2)</f>
        <v>0</v>
      </c>
      <c r="O146" s="30" t="n">
        <f aca="false">ROUND(N145*$E$20/12,2)</f>
        <v>0</v>
      </c>
      <c r="P146" s="30" t="n">
        <f aca="false">MIN($D$20,N145+O146)</f>
        <v>0</v>
      </c>
      <c r="Q146" s="30" t="n">
        <f aca="false">MAX(0,MIN($C$14-(H146+L146+P146+T146+X146+AB146)-(I146+M146),N145+O146-P146))</f>
        <v>0</v>
      </c>
      <c r="R146" s="30" t="n">
        <f aca="false">ROUND(R145+S146-T146-U146,2)</f>
        <v>0</v>
      </c>
      <c r="S146" s="30" t="n">
        <f aca="false">ROUND(R145*$E$21/12,2)</f>
        <v>0</v>
      </c>
      <c r="T146" s="30" t="n">
        <f aca="false">MIN($D$21,R145+S146)</f>
        <v>0</v>
      </c>
      <c r="U146" s="30" t="n">
        <f aca="false">MAX(0,MIN($C$14-(H146+L146+P146+T146+X146+AB146)-(I146+M146+Q146),R145+S146-T146))</f>
        <v>0</v>
      </c>
      <c r="V146" s="30" t="n">
        <f aca="false">ROUND(V145+W146-X146-Y146,2)</f>
        <v>0</v>
      </c>
      <c r="W146" s="30" t="n">
        <f aca="false">ROUND(V145*$E$22/12,2)</f>
        <v>0</v>
      </c>
      <c r="X146" s="30" t="n">
        <f aca="false">MIN($D$22,V145+W146)</f>
        <v>0</v>
      </c>
      <c r="Y146" s="30" t="n">
        <f aca="false">MAX(0,MIN($C$14-(H146+L146+P146+T146+X146+AB146)-(I146+M146+Q146+U146),V145+W146-X146))</f>
        <v>0</v>
      </c>
      <c r="Z146" s="30" t="n">
        <f aca="false">ROUND(Z145+AA146-AB146-AC146,2)</f>
        <v>0</v>
      </c>
      <c r="AA146" s="30" t="n">
        <f aca="false">ROUND(Z145*$E$23/12,2)</f>
        <v>0</v>
      </c>
      <c r="AB146" s="30" t="n">
        <f aca="false">MIN($D$23,Z145+AA146)</f>
        <v>0</v>
      </c>
      <c r="AC146" s="30" t="n">
        <f aca="false">MAX(0,MIN($C$14-(H146+L146+P146+T146+X146+AB146)-(I146+M146+Q146+U146+Y146),Z145+AA146-AB146))</f>
        <v>0</v>
      </c>
    </row>
    <row r="147" customFormat="false" ht="15" hidden="false" customHeight="false" outlineLevel="0" collapsed="false">
      <c r="A147" s="29" t="n">
        <v>107</v>
      </c>
      <c r="B147" s="30" t="n">
        <f aca="false">F147+J147+N147+R147+V147+Z147</f>
        <v>0</v>
      </c>
      <c r="C147" s="30" t="n">
        <f aca="false">$C$14-E147</f>
        <v>8050</v>
      </c>
      <c r="D147" s="30" t="n">
        <f aca="false">G147+K147+O147+S147+W147+AA147</f>
        <v>0</v>
      </c>
      <c r="E147" s="30" t="n">
        <f aca="false">H147+I147+L147+M147+P147+Q147+T147+U147+X147+Y147+AB147+AC147</f>
        <v>0</v>
      </c>
      <c r="F147" s="30" t="n">
        <f aca="false">ROUND(F146+G147-H147-I147,2)</f>
        <v>0</v>
      </c>
      <c r="G147" s="30" t="n">
        <f aca="false">ROUND(F146*$E$18/12,2)</f>
        <v>0</v>
      </c>
      <c r="H147" s="30" t="n">
        <f aca="false">MIN($D$18,F146+G147)</f>
        <v>0</v>
      </c>
      <c r="I147" s="30" t="n">
        <f aca="false">MAX(0,MIN($C$14-(H147+L147+P147+T147+X147+AB147)-0,F146+G147-H147))</f>
        <v>0</v>
      </c>
      <c r="J147" s="30" t="n">
        <f aca="false">ROUND(J146+K147-L147-M147,2)</f>
        <v>0</v>
      </c>
      <c r="K147" s="30" t="n">
        <f aca="false">ROUND(J146*$E$19/12,2)</f>
        <v>0</v>
      </c>
      <c r="L147" s="30" t="n">
        <f aca="false">MIN($D$19,J146+K147)</f>
        <v>0</v>
      </c>
      <c r="M147" s="30" t="n">
        <f aca="false">MAX(0,MIN($C$14-(H147+L147+P147+T147+X147+AB147)-(I147),J146+K147-L147))</f>
        <v>0</v>
      </c>
      <c r="N147" s="30" t="n">
        <f aca="false">ROUND(N146+O147-P147-Q147,2)</f>
        <v>0</v>
      </c>
      <c r="O147" s="30" t="n">
        <f aca="false">ROUND(N146*$E$20/12,2)</f>
        <v>0</v>
      </c>
      <c r="P147" s="30" t="n">
        <f aca="false">MIN($D$20,N146+O147)</f>
        <v>0</v>
      </c>
      <c r="Q147" s="30" t="n">
        <f aca="false">MAX(0,MIN($C$14-(H147+L147+P147+T147+X147+AB147)-(I147+M147),N146+O147-P147))</f>
        <v>0</v>
      </c>
      <c r="R147" s="30" t="n">
        <f aca="false">ROUND(R146+S147-T147-U147,2)</f>
        <v>0</v>
      </c>
      <c r="S147" s="30" t="n">
        <f aca="false">ROUND(R146*$E$21/12,2)</f>
        <v>0</v>
      </c>
      <c r="T147" s="30" t="n">
        <f aca="false">MIN($D$21,R146+S147)</f>
        <v>0</v>
      </c>
      <c r="U147" s="30" t="n">
        <f aca="false">MAX(0,MIN($C$14-(H147+L147+P147+T147+X147+AB147)-(I147+M147+Q147),R146+S147-T147))</f>
        <v>0</v>
      </c>
      <c r="V147" s="30" t="n">
        <f aca="false">ROUND(V146+W147-X147-Y147,2)</f>
        <v>0</v>
      </c>
      <c r="W147" s="30" t="n">
        <f aca="false">ROUND(V146*$E$22/12,2)</f>
        <v>0</v>
      </c>
      <c r="X147" s="30" t="n">
        <f aca="false">MIN($D$22,V146+W147)</f>
        <v>0</v>
      </c>
      <c r="Y147" s="30" t="n">
        <f aca="false">MAX(0,MIN($C$14-(H147+L147+P147+T147+X147+AB147)-(I147+M147+Q147+U147),V146+W147-X147))</f>
        <v>0</v>
      </c>
      <c r="Z147" s="30" t="n">
        <f aca="false">ROUND(Z146+AA147-AB147-AC147,2)</f>
        <v>0</v>
      </c>
      <c r="AA147" s="30" t="n">
        <f aca="false">ROUND(Z146*$E$23/12,2)</f>
        <v>0</v>
      </c>
      <c r="AB147" s="30" t="n">
        <f aca="false">MIN($D$23,Z146+AA147)</f>
        <v>0</v>
      </c>
      <c r="AC147" s="30" t="n">
        <f aca="false">MAX(0,MIN($C$14-(H147+L147+P147+T147+X147+AB147)-(I147+M147+Q147+U147+Y147),Z146+AA147-AB147))</f>
        <v>0</v>
      </c>
    </row>
    <row r="148" customFormat="false" ht="15" hidden="false" customHeight="false" outlineLevel="0" collapsed="false">
      <c r="A148" s="29" t="n">
        <v>108</v>
      </c>
      <c r="B148" s="30" t="n">
        <f aca="false">F148+J148+N148+R148+V148+Z148</f>
        <v>0</v>
      </c>
      <c r="C148" s="30" t="n">
        <f aca="false">$C$14-E148</f>
        <v>8050</v>
      </c>
      <c r="D148" s="30" t="n">
        <f aca="false">G148+K148+O148+S148+W148+AA148</f>
        <v>0</v>
      </c>
      <c r="E148" s="30" t="n">
        <f aca="false">H148+I148+L148+M148+P148+Q148+T148+U148+X148+Y148+AB148+AC148</f>
        <v>0</v>
      </c>
      <c r="F148" s="30" t="n">
        <f aca="false">ROUND(F147+G148-H148-I148,2)</f>
        <v>0</v>
      </c>
      <c r="G148" s="30" t="n">
        <f aca="false">ROUND(F147*$E$18/12,2)</f>
        <v>0</v>
      </c>
      <c r="H148" s="30" t="n">
        <f aca="false">MIN($D$18,F147+G148)</f>
        <v>0</v>
      </c>
      <c r="I148" s="30" t="n">
        <f aca="false">MAX(0,MIN($C$14-(H148+L148+P148+T148+X148+AB148)-0,F147+G148-H148))</f>
        <v>0</v>
      </c>
      <c r="J148" s="30" t="n">
        <f aca="false">ROUND(J147+K148-L148-M148,2)</f>
        <v>0</v>
      </c>
      <c r="K148" s="30" t="n">
        <f aca="false">ROUND(J147*$E$19/12,2)</f>
        <v>0</v>
      </c>
      <c r="L148" s="30" t="n">
        <f aca="false">MIN($D$19,J147+K148)</f>
        <v>0</v>
      </c>
      <c r="M148" s="30" t="n">
        <f aca="false">MAX(0,MIN($C$14-(H148+L148+P148+T148+X148+AB148)-(I148),J147+K148-L148))</f>
        <v>0</v>
      </c>
      <c r="N148" s="30" t="n">
        <f aca="false">ROUND(N147+O148-P148-Q148,2)</f>
        <v>0</v>
      </c>
      <c r="O148" s="30" t="n">
        <f aca="false">ROUND(N147*$E$20/12,2)</f>
        <v>0</v>
      </c>
      <c r="P148" s="30" t="n">
        <f aca="false">MIN($D$20,N147+O148)</f>
        <v>0</v>
      </c>
      <c r="Q148" s="30" t="n">
        <f aca="false">MAX(0,MIN($C$14-(H148+L148+P148+T148+X148+AB148)-(I148+M148),N147+O148-P148))</f>
        <v>0</v>
      </c>
      <c r="R148" s="30" t="n">
        <f aca="false">ROUND(R147+S148-T148-U148,2)</f>
        <v>0</v>
      </c>
      <c r="S148" s="30" t="n">
        <f aca="false">ROUND(R147*$E$21/12,2)</f>
        <v>0</v>
      </c>
      <c r="T148" s="30" t="n">
        <f aca="false">MIN($D$21,R147+S148)</f>
        <v>0</v>
      </c>
      <c r="U148" s="30" t="n">
        <f aca="false">MAX(0,MIN($C$14-(H148+L148+P148+T148+X148+AB148)-(I148+M148+Q148),R147+S148-T148))</f>
        <v>0</v>
      </c>
      <c r="V148" s="30" t="n">
        <f aca="false">ROUND(V147+W148-X148-Y148,2)</f>
        <v>0</v>
      </c>
      <c r="W148" s="30" t="n">
        <f aca="false">ROUND(V147*$E$22/12,2)</f>
        <v>0</v>
      </c>
      <c r="X148" s="30" t="n">
        <f aca="false">MIN($D$22,V147+W148)</f>
        <v>0</v>
      </c>
      <c r="Y148" s="30" t="n">
        <f aca="false">MAX(0,MIN($C$14-(H148+L148+P148+T148+X148+AB148)-(I148+M148+Q148+U148),V147+W148-X148))</f>
        <v>0</v>
      </c>
      <c r="Z148" s="30" t="n">
        <f aca="false">ROUND(Z147+AA148-AB148-AC148,2)</f>
        <v>0</v>
      </c>
      <c r="AA148" s="30" t="n">
        <f aca="false">ROUND(Z147*$E$23/12,2)</f>
        <v>0</v>
      </c>
      <c r="AB148" s="30" t="n">
        <f aca="false">MIN($D$23,Z147+AA148)</f>
        <v>0</v>
      </c>
      <c r="AC148" s="30" t="n">
        <f aca="false">MAX(0,MIN($C$14-(H148+L148+P148+T148+X148+AB148)-(I148+M148+Q148+U148+Y148),Z147+AA148-AB148))</f>
        <v>0</v>
      </c>
    </row>
    <row r="149" customFormat="false" ht="15" hidden="false" customHeight="false" outlineLevel="0" collapsed="false">
      <c r="A149" s="29" t="n">
        <v>109</v>
      </c>
      <c r="B149" s="30" t="n">
        <f aca="false">F149+J149+N149+R149+V149+Z149</f>
        <v>0</v>
      </c>
      <c r="C149" s="30" t="n">
        <f aca="false">$C$14-E149</f>
        <v>8050</v>
      </c>
      <c r="D149" s="30" t="n">
        <f aca="false">G149+K149+O149+S149+W149+AA149</f>
        <v>0</v>
      </c>
      <c r="E149" s="30" t="n">
        <f aca="false">H149+I149+L149+M149+P149+Q149+T149+U149+X149+Y149+AB149+AC149</f>
        <v>0</v>
      </c>
      <c r="F149" s="30" t="n">
        <f aca="false">ROUND(F148+G149-H149-I149,2)</f>
        <v>0</v>
      </c>
      <c r="G149" s="30" t="n">
        <f aca="false">ROUND(F148*$E$18/12,2)</f>
        <v>0</v>
      </c>
      <c r="H149" s="30" t="n">
        <f aca="false">MIN($D$18,F148+G149)</f>
        <v>0</v>
      </c>
      <c r="I149" s="30" t="n">
        <f aca="false">MAX(0,MIN($C$14-(H149+L149+P149+T149+X149+AB149)-0,F148+G149-H149))</f>
        <v>0</v>
      </c>
      <c r="J149" s="30" t="n">
        <f aca="false">ROUND(J148+K149-L149-M149,2)</f>
        <v>0</v>
      </c>
      <c r="K149" s="30" t="n">
        <f aca="false">ROUND(J148*$E$19/12,2)</f>
        <v>0</v>
      </c>
      <c r="L149" s="30" t="n">
        <f aca="false">MIN($D$19,J148+K149)</f>
        <v>0</v>
      </c>
      <c r="M149" s="30" t="n">
        <f aca="false">MAX(0,MIN($C$14-(H149+L149+P149+T149+X149+AB149)-(I149),J148+K149-L149))</f>
        <v>0</v>
      </c>
      <c r="N149" s="30" t="n">
        <f aca="false">ROUND(N148+O149-P149-Q149,2)</f>
        <v>0</v>
      </c>
      <c r="O149" s="30" t="n">
        <f aca="false">ROUND(N148*$E$20/12,2)</f>
        <v>0</v>
      </c>
      <c r="P149" s="30" t="n">
        <f aca="false">MIN($D$20,N148+O149)</f>
        <v>0</v>
      </c>
      <c r="Q149" s="30" t="n">
        <f aca="false">MAX(0,MIN($C$14-(H149+L149+P149+T149+X149+AB149)-(I149+M149),N148+O149-P149))</f>
        <v>0</v>
      </c>
      <c r="R149" s="30" t="n">
        <f aca="false">ROUND(R148+S149-T149-U149,2)</f>
        <v>0</v>
      </c>
      <c r="S149" s="30" t="n">
        <f aca="false">ROUND(R148*$E$21/12,2)</f>
        <v>0</v>
      </c>
      <c r="T149" s="30" t="n">
        <f aca="false">MIN($D$21,R148+S149)</f>
        <v>0</v>
      </c>
      <c r="U149" s="30" t="n">
        <f aca="false">MAX(0,MIN($C$14-(H149+L149+P149+T149+X149+AB149)-(I149+M149+Q149),R148+S149-T149))</f>
        <v>0</v>
      </c>
      <c r="V149" s="30" t="n">
        <f aca="false">ROUND(V148+W149-X149-Y149,2)</f>
        <v>0</v>
      </c>
      <c r="W149" s="30" t="n">
        <f aca="false">ROUND(V148*$E$22/12,2)</f>
        <v>0</v>
      </c>
      <c r="X149" s="30" t="n">
        <f aca="false">MIN($D$22,V148+W149)</f>
        <v>0</v>
      </c>
      <c r="Y149" s="30" t="n">
        <f aca="false">MAX(0,MIN($C$14-(H149+L149+P149+T149+X149+AB149)-(I149+M149+Q149+U149),V148+W149-X149))</f>
        <v>0</v>
      </c>
      <c r="Z149" s="30" t="n">
        <f aca="false">ROUND(Z148+AA149-AB149-AC149,2)</f>
        <v>0</v>
      </c>
      <c r="AA149" s="30" t="n">
        <f aca="false">ROUND(Z148*$E$23/12,2)</f>
        <v>0</v>
      </c>
      <c r="AB149" s="30" t="n">
        <f aca="false">MIN($D$23,Z148+AA149)</f>
        <v>0</v>
      </c>
      <c r="AC149" s="30" t="n">
        <f aca="false">MAX(0,MIN($C$14-(H149+L149+P149+T149+X149+AB149)-(I149+M149+Q149+U149+Y149),Z148+AA149-AB149))</f>
        <v>0</v>
      </c>
    </row>
    <row r="150" customFormat="false" ht="15" hidden="false" customHeight="false" outlineLevel="0" collapsed="false">
      <c r="A150" s="29" t="n">
        <v>110</v>
      </c>
      <c r="B150" s="30" t="n">
        <f aca="false">F150+J150+N150+R150+V150+Z150</f>
        <v>0</v>
      </c>
      <c r="C150" s="30" t="n">
        <f aca="false">$C$14-E150</f>
        <v>8050</v>
      </c>
      <c r="D150" s="30" t="n">
        <f aca="false">G150+K150+O150+S150+W150+AA150</f>
        <v>0</v>
      </c>
      <c r="E150" s="30" t="n">
        <f aca="false">H150+I150+L150+M150+P150+Q150+T150+U150+X150+Y150+AB150+AC150</f>
        <v>0</v>
      </c>
      <c r="F150" s="30" t="n">
        <f aca="false">ROUND(F149+G150-H150-I150,2)</f>
        <v>0</v>
      </c>
      <c r="G150" s="30" t="n">
        <f aca="false">ROUND(F149*$E$18/12,2)</f>
        <v>0</v>
      </c>
      <c r="H150" s="30" t="n">
        <f aca="false">MIN($D$18,F149+G150)</f>
        <v>0</v>
      </c>
      <c r="I150" s="30" t="n">
        <f aca="false">MAX(0,MIN($C$14-(H150+L150+P150+T150+X150+AB150)-0,F149+G150-H150))</f>
        <v>0</v>
      </c>
      <c r="J150" s="30" t="n">
        <f aca="false">ROUND(J149+K150-L150-M150,2)</f>
        <v>0</v>
      </c>
      <c r="K150" s="30" t="n">
        <f aca="false">ROUND(J149*$E$19/12,2)</f>
        <v>0</v>
      </c>
      <c r="L150" s="30" t="n">
        <f aca="false">MIN($D$19,J149+K150)</f>
        <v>0</v>
      </c>
      <c r="M150" s="30" t="n">
        <f aca="false">MAX(0,MIN($C$14-(H150+L150+P150+T150+X150+AB150)-(I150),J149+K150-L150))</f>
        <v>0</v>
      </c>
      <c r="N150" s="30" t="n">
        <f aca="false">ROUND(N149+O150-P150-Q150,2)</f>
        <v>0</v>
      </c>
      <c r="O150" s="30" t="n">
        <f aca="false">ROUND(N149*$E$20/12,2)</f>
        <v>0</v>
      </c>
      <c r="P150" s="30" t="n">
        <f aca="false">MIN($D$20,N149+O150)</f>
        <v>0</v>
      </c>
      <c r="Q150" s="30" t="n">
        <f aca="false">MAX(0,MIN($C$14-(H150+L150+P150+T150+X150+AB150)-(I150+M150),N149+O150-P150))</f>
        <v>0</v>
      </c>
      <c r="R150" s="30" t="n">
        <f aca="false">ROUND(R149+S150-T150-U150,2)</f>
        <v>0</v>
      </c>
      <c r="S150" s="30" t="n">
        <f aca="false">ROUND(R149*$E$21/12,2)</f>
        <v>0</v>
      </c>
      <c r="T150" s="30" t="n">
        <f aca="false">MIN($D$21,R149+S150)</f>
        <v>0</v>
      </c>
      <c r="U150" s="30" t="n">
        <f aca="false">MAX(0,MIN($C$14-(H150+L150+P150+T150+X150+AB150)-(I150+M150+Q150),R149+S150-T150))</f>
        <v>0</v>
      </c>
      <c r="V150" s="30" t="n">
        <f aca="false">ROUND(V149+W150-X150-Y150,2)</f>
        <v>0</v>
      </c>
      <c r="W150" s="30" t="n">
        <f aca="false">ROUND(V149*$E$22/12,2)</f>
        <v>0</v>
      </c>
      <c r="X150" s="30" t="n">
        <f aca="false">MIN($D$22,V149+W150)</f>
        <v>0</v>
      </c>
      <c r="Y150" s="30" t="n">
        <f aca="false">MAX(0,MIN($C$14-(H150+L150+P150+T150+X150+AB150)-(I150+M150+Q150+U150),V149+W150-X150))</f>
        <v>0</v>
      </c>
      <c r="Z150" s="30" t="n">
        <f aca="false">ROUND(Z149+AA150-AB150-AC150,2)</f>
        <v>0</v>
      </c>
      <c r="AA150" s="30" t="n">
        <f aca="false">ROUND(Z149*$E$23/12,2)</f>
        <v>0</v>
      </c>
      <c r="AB150" s="30" t="n">
        <f aca="false">MIN($D$23,Z149+AA150)</f>
        <v>0</v>
      </c>
      <c r="AC150" s="30" t="n">
        <f aca="false">MAX(0,MIN($C$14-(H150+L150+P150+T150+X150+AB150)-(I150+M150+Q150+U150+Y150),Z149+AA150-AB150))</f>
        <v>0</v>
      </c>
    </row>
    <row r="151" customFormat="false" ht="15" hidden="false" customHeight="false" outlineLevel="0" collapsed="false">
      <c r="A151" s="29" t="n">
        <v>111</v>
      </c>
      <c r="B151" s="30" t="n">
        <f aca="false">F151+J151+N151+R151+V151+Z151</f>
        <v>0</v>
      </c>
      <c r="C151" s="30" t="n">
        <f aca="false">$C$14-E151</f>
        <v>8050</v>
      </c>
      <c r="D151" s="30" t="n">
        <f aca="false">G151+K151+O151+S151+W151+AA151</f>
        <v>0</v>
      </c>
      <c r="E151" s="30" t="n">
        <f aca="false">H151+I151+L151+M151+P151+Q151+T151+U151+X151+Y151+AB151+AC151</f>
        <v>0</v>
      </c>
      <c r="F151" s="30" t="n">
        <f aca="false">ROUND(F150+G151-H151-I151,2)</f>
        <v>0</v>
      </c>
      <c r="G151" s="30" t="n">
        <f aca="false">ROUND(F150*$E$18/12,2)</f>
        <v>0</v>
      </c>
      <c r="H151" s="30" t="n">
        <f aca="false">MIN($D$18,F150+G151)</f>
        <v>0</v>
      </c>
      <c r="I151" s="30" t="n">
        <f aca="false">MAX(0,MIN($C$14-(H151+L151+P151+T151+X151+AB151)-0,F150+G151-H151))</f>
        <v>0</v>
      </c>
      <c r="J151" s="30" t="n">
        <f aca="false">ROUND(J150+K151-L151-M151,2)</f>
        <v>0</v>
      </c>
      <c r="K151" s="30" t="n">
        <f aca="false">ROUND(J150*$E$19/12,2)</f>
        <v>0</v>
      </c>
      <c r="L151" s="30" t="n">
        <f aca="false">MIN($D$19,J150+K151)</f>
        <v>0</v>
      </c>
      <c r="M151" s="30" t="n">
        <f aca="false">MAX(0,MIN($C$14-(H151+L151+P151+T151+X151+AB151)-(I151),J150+K151-L151))</f>
        <v>0</v>
      </c>
      <c r="N151" s="30" t="n">
        <f aca="false">ROUND(N150+O151-P151-Q151,2)</f>
        <v>0</v>
      </c>
      <c r="O151" s="30" t="n">
        <f aca="false">ROUND(N150*$E$20/12,2)</f>
        <v>0</v>
      </c>
      <c r="P151" s="30" t="n">
        <f aca="false">MIN($D$20,N150+O151)</f>
        <v>0</v>
      </c>
      <c r="Q151" s="30" t="n">
        <f aca="false">MAX(0,MIN($C$14-(H151+L151+P151+T151+X151+AB151)-(I151+M151),N150+O151-P151))</f>
        <v>0</v>
      </c>
      <c r="R151" s="30" t="n">
        <f aca="false">ROUND(R150+S151-T151-U151,2)</f>
        <v>0</v>
      </c>
      <c r="S151" s="30" t="n">
        <f aca="false">ROUND(R150*$E$21/12,2)</f>
        <v>0</v>
      </c>
      <c r="T151" s="30" t="n">
        <f aca="false">MIN($D$21,R150+S151)</f>
        <v>0</v>
      </c>
      <c r="U151" s="30" t="n">
        <f aca="false">MAX(0,MIN($C$14-(H151+L151+P151+T151+X151+AB151)-(I151+M151+Q151),R150+S151-T151))</f>
        <v>0</v>
      </c>
      <c r="V151" s="30" t="n">
        <f aca="false">ROUND(V150+W151-X151-Y151,2)</f>
        <v>0</v>
      </c>
      <c r="W151" s="30" t="n">
        <f aca="false">ROUND(V150*$E$22/12,2)</f>
        <v>0</v>
      </c>
      <c r="X151" s="30" t="n">
        <f aca="false">MIN($D$22,V150+W151)</f>
        <v>0</v>
      </c>
      <c r="Y151" s="30" t="n">
        <f aca="false">MAX(0,MIN($C$14-(H151+L151+P151+T151+X151+AB151)-(I151+M151+Q151+U151),V150+W151-X151))</f>
        <v>0</v>
      </c>
      <c r="Z151" s="30" t="n">
        <f aca="false">ROUND(Z150+AA151-AB151-AC151,2)</f>
        <v>0</v>
      </c>
      <c r="AA151" s="30" t="n">
        <f aca="false">ROUND(Z150*$E$23/12,2)</f>
        <v>0</v>
      </c>
      <c r="AB151" s="30" t="n">
        <f aca="false">MIN($D$23,Z150+AA151)</f>
        <v>0</v>
      </c>
      <c r="AC151" s="30" t="n">
        <f aca="false">MAX(0,MIN($C$14-(H151+L151+P151+T151+X151+AB151)-(I151+M151+Q151+U151+Y151),Z150+AA151-AB151))</f>
        <v>0</v>
      </c>
    </row>
    <row r="152" customFormat="false" ht="15" hidden="false" customHeight="false" outlineLevel="0" collapsed="false">
      <c r="A152" s="29" t="n">
        <v>112</v>
      </c>
      <c r="B152" s="30" t="n">
        <f aca="false">F152+J152+N152+R152+V152+Z152</f>
        <v>0</v>
      </c>
      <c r="C152" s="30" t="n">
        <f aca="false">$C$14-E152</f>
        <v>8050</v>
      </c>
      <c r="D152" s="30" t="n">
        <f aca="false">G152+K152+O152+S152+W152+AA152</f>
        <v>0</v>
      </c>
      <c r="E152" s="30" t="n">
        <f aca="false">H152+I152+L152+M152+P152+Q152+T152+U152+X152+Y152+AB152+AC152</f>
        <v>0</v>
      </c>
      <c r="F152" s="30" t="n">
        <f aca="false">ROUND(F151+G152-H152-I152,2)</f>
        <v>0</v>
      </c>
      <c r="G152" s="30" t="n">
        <f aca="false">ROUND(F151*$E$18/12,2)</f>
        <v>0</v>
      </c>
      <c r="H152" s="30" t="n">
        <f aca="false">MIN($D$18,F151+G152)</f>
        <v>0</v>
      </c>
      <c r="I152" s="30" t="n">
        <f aca="false">MAX(0,MIN($C$14-(H152+L152+P152+T152+X152+AB152)-0,F151+G152-H152))</f>
        <v>0</v>
      </c>
      <c r="J152" s="30" t="n">
        <f aca="false">ROUND(J151+K152-L152-M152,2)</f>
        <v>0</v>
      </c>
      <c r="K152" s="30" t="n">
        <f aca="false">ROUND(J151*$E$19/12,2)</f>
        <v>0</v>
      </c>
      <c r="L152" s="30" t="n">
        <f aca="false">MIN($D$19,J151+K152)</f>
        <v>0</v>
      </c>
      <c r="M152" s="30" t="n">
        <f aca="false">MAX(0,MIN($C$14-(H152+L152+P152+T152+X152+AB152)-(I152),J151+K152-L152))</f>
        <v>0</v>
      </c>
      <c r="N152" s="30" t="n">
        <f aca="false">ROUND(N151+O152-P152-Q152,2)</f>
        <v>0</v>
      </c>
      <c r="O152" s="30" t="n">
        <f aca="false">ROUND(N151*$E$20/12,2)</f>
        <v>0</v>
      </c>
      <c r="P152" s="30" t="n">
        <f aca="false">MIN($D$20,N151+O152)</f>
        <v>0</v>
      </c>
      <c r="Q152" s="30" t="n">
        <f aca="false">MAX(0,MIN($C$14-(H152+L152+P152+T152+X152+AB152)-(I152+M152),N151+O152-P152))</f>
        <v>0</v>
      </c>
      <c r="R152" s="30" t="n">
        <f aca="false">ROUND(R151+S152-T152-U152,2)</f>
        <v>0</v>
      </c>
      <c r="S152" s="30" t="n">
        <f aca="false">ROUND(R151*$E$21/12,2)</f>
        <v>0</v>
      </c>
      <c r="T152" s="30" t="n">
        <f aca="false">MIN($D$21,R151+S152)</f>
        <v>0</v>
      </c>
      <c r="U152" s="30" t="n">
        <f aca="false">MAX(0,MIN($C$14-(H152+L152+P152+T152+X152+AB152)-(I152+M152+Q152),R151+S152-T152))</f>
        <v>0</v>
      </c>
      <c r="V152" s="30" t="n">
        <f aca="false">ROUND(V151+W152-X152-Y152,2)</f>
        <v>0</v>
      </c>
      <c r="W152" s="30" t="n">
        <f aca="false">ROUND(V151*$E$22/12,2)</f>
        <v>0</v>
      </c>
      <c r="X152" s="30" t="n">
        <f aca="false">MIN($D$22,V151+W152)</f>
        <v>0</v>
      </c>
      <c r="Y152" s="30" t="n">
        <f aca="false">MAX(0,MIN($C$14-(H152+L152+P152+T152+X152+AB152)-(I152+M152+Q152+U152),V151+W152-X152))</f>
        <v>0</v>
      </c>
      <c r="Z152" s="30" t="n">
        <f aca="false">ROUND(Z151+AA152-AB152-AC152,2)</f>
        <v>0</v>
      </c>
      <c r="AA152" s="30" t="n">
        <f aca="false">ROUND(Z151*$E$23/12,2)</f>
        <v>0</v>
      </c>
      <c r="AB152" s="30" t="n">
        <f aca="false">MIN($D$23,Z151+AA152)</f>
        <v>0</v>
      </c>
      <c r="AC152" s="30" t="n">
        <f aca="false">MAX(0,MIN($C$14-(H152+L152+P152+T152+X152+AB152)-(I152+M152+Q152+U152+Y152),Z151+AA152-AB152))</f>
        <v>0</v>
      </c>
    </row>
    <row r="153" customFormat="false" ht="15" hidden="false" customHeight="false" outlineLevel="0" collapsed="false">
      <c r="A153" s="29" t="n">
        <v>113</v>
      </c>
      <c r="B153" s="30" t="n">
        <f aca="false">F153+J153+N153+R153+V153+Z153</f>
        <v>0</v>
      </c>
      <c r="C153" s="30" t="n">
        <f aca="false">$C$14-E153</f>
        <v>8050</v>
      </c>
      <c r="D153" s="30" t="n">
        <f aca="false">G153+K153+O153+S153+W153+AA153</f>
        <v>0</v>
      </c>
      <c r="E153" s="30" t="n">
        <f aca="false">H153+I153+L153+M153+P153+Q153+T153+U153+X153+Y153+AB153+AC153</f>
        <v>0</v>
      </c>
      <c r="F153" s="30" t="n">
        <f aca="false">ROUND(F152+G153-H153-I153,2)</f>
        <v>0</v>
      </c>
      <c r="G153" s="30" t="n">
        <f aca="false">ROUND(F152*$E$18/12,2)</f>
        <v>0</v>
      </c>
      <c r="H153" s="30" t="n">
        <f aca="false">MIN($D$18,F152+G153)</f>
        <v>0</v>
      </c>
      <c r="I153" s="30" t="n">
        <f aca="false">MAX(0,MIN($C$14-(H153+L153+P153+T153+X153+AB153)-0,F152+G153-H153))</f>
        <v>0</v>
      </c>
      <c r="J153" s="30" t="n">
        <f aca="false">ROUND(J152+K153-L153-M153,2)</f>
        <v>0</v>
      </c>
      <c r="K153" s="30" t="n">
        <f aca="false">ROUND(J152*$E$19/12,2)</f>
        <v>0</v>
      </c>
      <c r="L153" s="30" t="n">
        <f aca="false">MIN($D$19,J152+K153)</f>
        <v>0</v>
      </c>
      <c r="M153" s="30" t="n">
        <f aca="false">MAX(0,MIN($C$14-(H153+L153+P153+T153+X153+AB153)-(I153),J152+K153-L153))</f>
        <v>0</v>
      </c>
      <c r="N153" s="30" t="n">
        <f aca="false">ROUND(N152+O153-P153-Q153,2)</f>
        <v>0</v>
      </c>
      <c r="O153" s="30" t="n">
        <f aca="false">ROUND(N152*$E$20/12,2)</f>
        <v>0</v>
      </c>
      <c r="P153" s="30" t="n">
        <f aca="false">MIN($D$20,N152+O153)</f>
        <v>0</v>
      </c>
      <c r="Q153" s="30" t="n">
        <f aca="false">MAX(0,MIN($C$14-(H153+L153+P153+T153+X153+AB153)-(I153+M153),N152+O153-P153))</f>
        <v>0</v>
      </c>
      <c r="R153" s="30" t="n">
        <f aca="false">ROUND(R152+S153-T153-U153,2)</f>
        <v>0</v>
      </c>
      <c r="S153" s="30" t="n">
        <f aca="false">ROUND(R152*$E$21/12,2)</f>
        <v>0</v>
      </c>
      <c r="T153" s="30" t="n">
        <f aca="false">MIN($D$21,R152+S153)</f>
        <v>0</v>
      </c>
      <c r="U153" s="30" t="n">
        <f aca="false">MAX(0,MIN($C$14-(H153+L153+P153+T153+X153+AB153)-(I153+M153+Q153),R152+S153-T153))</f>
        <v>0</v>
      </c>
      <c r="V153" s="30" t="n">
        <f aca="false">ROUND(V152+W153-X153-Y153,2)</f>
        <v>0</v>
      </c>
      <c r="W153" s="30" t="n">
        <f aca="false">ROUND(V152*$E$22/12,2)</f>
        <v>0</v>
      </c>
      <c r="X153" s="30" t="n">
        <f aca="false">MIN($D$22,V152+W153)</f>
        <v>0</v>
      </c>
      <c r="Y153" s="30" t="n">
        <f aca="false">MAX(0,MIN($C$14-(H153+L153+P153+T153+X153+AB153)-(I153+M153+Q153+U153),V152+W153-X153))</f>
        <v>0</v>
      </c>
      <c r="Z153" s="30" t="n">
        <f aca="false">ROUND(Z152+AA153-AB153-AC153,2)</f>
        <v>0</v>
      </c>
      <c r="AA153" s="30" t="n">
        <f aca="false">ROUND(Z152*$E$23/12,2)</f>
        <v>0</v>
      </c>
      <c r="AB153" s="30" t="n">
        <f aca="false">MIN($D$23,Z152+AA153)</f>
        <v>0</v>
      </c>
      <c r="AC153" s="30" t="n">
        <f aca="false">MAX(0,MIN($C$14-(H153+L153+P153+T153+X153+AB153)-(I153+M153+Q153+U153+Y153),Z152+AA153-AB153))</f>
        <v>0</v>
      </c>
    </row>
    <row r="154" customFormat="false" ht="15" hidden="false" customHeight="false" outlineLevel="0" collapsed="false">
      <c r="A154" s="29" t="n">
        <v>114</v>
      </c>
      <c r="B154" s="30" t="n">
        <f aca="false">F154+J154+N154+R154+V154+Z154</f>
        <v>0</v>
      </c>
      <c r="C154" s="30" t="n">
        <f aca="false">$C$14-E154</f>
        <v>8050</v>
      </c>
      <c r="D154" s="30" t="n">
        <f aca="false">G154+K154+O154+S154+W154+AA154</f>
        <v>0</v>
      </c>
      <c r="E154" s="30" t="n">
        <f aca="false">H154+I154+L154+M154+P154+Q154+T154+U154+X154+Y154+AB154+AC154</f>
        <v>0</v>
      </c>
      <c r="F154" s="30" t="n">
        <f aca="false">ROUND(F153+G154-H154-I154,2)</f>
        <v>0</v>
      </c>
      <c r="G154" s="30" t="n">
        <f aca="false">ROUND(F153*$E$18/12,2)</f>
        <v>0</v>
      </c>
      <c r="H154" s="30" t="n">
        <f aca="false">MIN($D$18,F153+G154)</f>
        <v>0</v>
      </c>
      <c r="I154" s="30" t="n">
        <f aca="false">MAX(0,MIN($C$14-(H154+L154+P154+T154+X154+AB154)-0,F153+G154-H154))</f>
        <v>0</v>
      </c>
      <c r="J154" s="30" t="n">
        <f aca="false">ROUND(J153+K154-L154-M154,2)</f>
        <v>0</v>
      </c>
      <c r="K154" s="30" t="n">
        <f aca="false">ROUND(J153*$E$19/12,2)</f>
        <v>0</v>
      </c>
      <c r="L154" s="30" t="n">
        <f aca="false">MIN($D$19,J153+K154)</f>
        <v>0</v>
      </c>
      <c r="M154" s="30" t="n">
        <f aca="false">MAX(0,MIN($C$14-(H154+L154+P154+T154+X154+AB154)-(I154),J153+K154-L154))</f>
        <v>0</v>
      </c>
      <c r="N154" s="30" t="n">
        <f aca="false">ROUND(N153+O154-P154-Q154,2)</f>
        <v>0</v>
      </c>
      <c r="O154" s="30" t="n">
        <f aca="false">ROUND(N153*$E$20/12,2)</f>
        <v>0</v>
      </c>
      <c r="P154" s="30" t="n">
        <f aca="false">MIN($D$20,N153+O154)</f>
        <v>0</v>
      </c>
      <c r="Q154" s="30" t="n">
        <f aca="false">MAX(0,MIN($C$14-(H154+L154+P154+T154+X154+AB154)-(I154+M154),N153+O154-P154))</f>
        <v>0</v>
      </c>
      <c r="R154" s="30" t="n">
        <f aca="false">ROUND(R153+S154-T154-U154,2)</f>
        <v>0</v>
      </c>
      <c r="S154" s="30" t="n">
        <f aca="false">ROUND(R153*$E$21/12,2)</f>
        <v>0</v>
      </c>
      <c r="T154" s="30" t="n">
        <f aca="false">MIN($D$21,R153+S154)</f>
        <v>0</v>
      </c>
      <c r="U154" s="30" t="n">
        <f aca="false">MAX(0,MIN($C$14-(H154+L154+P154+T154+X154+AB154)-(I154+M154+Q154),R153+S154-T154))</f>
        <v>0</v>
      </c>
      <c r="V154" s="30" t="n">
        <f aca="false">ROUND(V153+W154-X154-Y154,2)</f>
        <v>0</v>
      </c>
      <c r="W154" s="30" t="n">
        <f aca="false">ROUND(V153*$E$22/12,2)</f>
        <v>0</v>
      </c>
      <c r="X154" s="30" t="n">
        <f aca="false">MIN($D$22,V153+W154)</f>
        <v>0</v>
      </c>
      <c r="Y154" s="30" t="n">
        <f aca="false">MAX(0,MIN($C$14-(H154+L154+P154+T154+X154+AB154)-(I154+M154+Q154+U154),V153+W154-X154))</f>
        <v>0</v>
      </c>
      <c r="Z154" s="30" t="n">
        <f aca="false">ROUND(Z153+AA154-AB154-AC154,2)</f>
        <v>0</v>
      </c>
      <c r="AA154" s="30" t="n">
        <f aca="false">ROUND(Z153*$E$23/12,2)</f>
        <v>0</v>
      </c>
      <c r="AB154" s="30" t="n">
        <f aca="false">MIN($D$23,Z153+AA154)</f>
        <v>0</v>
      </c>
      <c r="AC154" s="30" t="n">
        <f aca="false">MAX(0,MIN($C$14-(H154+L154+P154+T154+X154+AB154)-(I154+M154+Q154+U154+Y154),Z153+AA154-AB154))</f>
        <v>0</v>
      </c>
    </row>
    <row r="155" customFormat="false" ht="15" hidden="false" customHeight="false" outlineLevel="0" collapsed="false">
      <c r="A155" s="29" t="n">
        <v>115</v>
      </c>
      <c r="B155" s="30" t="n">
        <f aca="false">F155+J155+N155+R155+V155+Z155</f>
        <v>0</v>
      </c>
      <c r="C155" s="30" t="n">
        <f aca="false">$C$14-E155</f>
        <v>8050</v>
      </c>
      <c r="D155" s="30" t="n">
        <f aca="false">G155+K155+O155+S155+W155+AA155</f>
        <v>0</v>
      </c>
      <c r="E155" s="30" t="n">
        <f aca="false">H155+I155+L155+M155+P155+Q155+T155+U155+X155+Y155+AB155+AC155</f>
        <v>0</v>
      </c>
      <c r="F155" s="30" t="n">
        <f aca="false">ROUND(F154+G155-H155-I155,2)</f>
        <v>0</v>
      </c>
      <c r="G155" s="30" t="n">
        <f aca="false">ROUND(F154*$E$18/12,2)</f>
        <v>0</v>
      </c>
      <c r="H155" s="30" t="n">
        <f aca="false">MIN($D$18,F154+G155)</f>
        <v>0</v>
      </c>
      <c r="I155" s="30" t="n">
        <f aca="false">MAX(0,MIN($C$14-(H155+L155+P155+T155+X155+AB155)-0,F154+G155-H155))</f>
        <v>0</v>
      </c>
      <c r="J155" s="30" t="n">
        <f aca="false">ROUND(J154+K155-L155-M155,2)</f>
        <v>0</v>
      </c>
      <c r="K155" s="30" t="n">
        <f aca="false">ROUND(J154*$E$19/12,2)</f>
        <v>0</v>
      </c>
      <c r="L155" s="30" t="n">
        <f aca="false">MIN($D$19,J154+K155)</f>
        <v>0</v>
      </c>
      <c r="M155" s="30" t="n">
        <f aca="false">MAX(0,MIN($C$14-(H155+L155+P155+T155+X155+AB155)-(I155),J154+K155-L155))</f>
        <v>0</v>
      </c>
      <c r="N155" s="30" t="n">
        <f aca="false">ROUND(N154+O155-P155-Q155,2)</f>
        <v>0</v>
      </c>
      <c r="O155" s="30" t="n">
        <f aca="false">ROUND(N154*$E$20/12,2)</f>
        <v>0</v>
      </c>
      <c r="P155" s="30" t="n">
        <f aca="false">MIN($D$20,N154+O155)</f>
        <v>0</v>
      </c>
      <c r="Q155" s="30" t="n">
        <f aca="false">MAX(0,MIN($C$14-(H155+L155+P155+T155+X155+AB155)-(I155+M155),N154+O155-P155))</f>
        <v>0</v>
      </c>
      <c r="R155" s="30" t="n">
        <f aca="false">ROUND(R154+S155-T155-U155,2)</f>
        <v>0</v>
      </c>
      <c r="S155" s="30" t="n">
        <f aca="false">ROUND(R154*$E$21/12,2)</f>
        <v>0</v>
      </c>
      <c r="T155" s="30" t="n">
        <f aca="false">MIN($D$21,R154+S155)</f>
        <v>0</v>
      </c>
      <c r="U155" s="30" t="n">
        <f aca="false">MAX(0,MIN($C$14-(H155+L155+P155+T155+X155+AB155)-(I155+M155+Q155),R154+S155-T155))</f>
        <v>0</v>
      </c>
      <c r="V155" s="30" t="n">
        <f aca="false">ROUND(V154+W155-X155-Y155,2)</f>
        <v>0</v>
      </c>
      <c r="W155" s="30" t="n">
        <f aca="false">ROUND(V154*$E$22/12,2)</f>
        <v>0</v>
      </c>
      <c r="X155" s="30" t="n">
        <f aca="false">MIN($D$22,V154+W155)</f>
        <v>0</v>
      </c>
      <c r="Y155" s="30" t="n">
        <f aca="false">MAX(0,MIN($C$14-(H155+L155+P155+T155+X155+AB155)-(I155+M155+Q155+U155),V154+W155-X155))</f>
        <v>0</v>
      </c>
      <c r="Z155" s="30" t="n">
        <f aca="false">ROUND(Z154+AA155-AB155-AC155,2)</f>
        <v>0</v>
      </c>
      <c r="AA155" s="30" t="n">
        <f aca="false">ROUND(Z154*$E$23/12,2)</f>
        <v>0</v>
      </c>
      <c r="AB155" s="30" t="n">
        <f aca="false">MIN($D$23,Z154+AA155)</f>
        <v>0</v>
      </c>
      <c r="AC155" s="30" t="n">
        <f aca="false">MAX(0,MIN($C$14-(H155+L155+P155+T155+X155+AB155)-(I155+M155+Q155+U155+Y155),Z154+AA155-AB155))</f>
        <v>0</v>
      </c>
    </row>
    <row r="156" customFormat="false" ht="15" hidden="false" customHeight="false" outlineLevel="0" collapsed="false">
      <c r="A156" s="29" t="n">
        <v>116</v>
      </c>
      <c r="B156" s="30" t="n">
        <f aca="false">F156+J156+N156+R156+V156+Z156</f>
        <v>0</v>
      </c>
      <c r="C156" s="30" t="n">
        <f aca="false">$C$14-E156</f>
        <v>8050</v>
      </c>
      <c r="D156" s="30" t="n">
        <f aca="false">G156+K156+O156+S156+W156+AA156</f>
        <v>0</v>
      </c>
      <c r="E156" s="30" t="n">
        <f aca="false">H156+I156+L156+M156+P156+Q156+T156+U156+X156+Y156+AB156+AC156</f>
        <v>0</v>
      </c>
      <c r="F156" s="30" t="n">
        <f aca="false">ROUND(F155+G156-H156-I156,2)</f>
        <v>0</v>
      </c>
      <c r="G156" s="30" t="n">
        <f aca="false">ROUND(F155*$E$18/12,2)</f>
        <v>0</v>
      </c>
      <c r="H156" s="30" t="n">
        <f aca="false">MIN($D$18,F155+G156)</f>
        <v>0</v>
      </c>
      <c r="I156" s="30" t="n">
        <f aca="false">MAX(0,MIN($C$14-(H156+L156+P156+T156+X156+AB156)-0,F155+G156-H156))</f>
        <v>0</v>
      </c>
      <c r="J156" s="30" t="n">
        <f aca="false">ROUND(J155+K156-L156-M156,2)</f>
        <v>0</v>
      </c>
      <c r="K156" s="30" t="n">
        <f aca="false">ROUND(J155*$E$19/12,2)</f>
        <v>0</v>
      </c>
      <c r="L156" s="30" t="n">
        <f aca="false">MIN($D$19,J155+K156)</f>
        <v>0</v>
      </c>
      <c r="M156" s="30" t="n">
        <f aca="false">MAX(0,MIN($C$14-(H156+L156+P156+T156+X156+AB156)-(I156),J155+K156-L156))</f>
        <v>0</v>
      </c>
      <c r="N156" s="30" t="n">
        <f aca="false">ROUND(N155+O156-P156-Q156,2)</f>
        <v>0</v>
      </c>
      <c r="O156" s="30" t="n">
        <f aca="false">ROUND(N155*$E$20/12,2)</f>
        <v>0</v>
      </c>
      <c r="P156" s="30" t="n">
        <f aca="false">MIN($D$20,N155+O156)</f>
        <v>0</v>
      </c>
      <c r="Q156" s="30" t="n">
        <f aca="false">MAX(0,MIN($C$14-(H156+L156+P156+T156+X156+AB156)-(I156+M156),N155+O156-P156))</f>
        <v>0</v>
      </c>
      <c r="R156" s="30" t="n">
        <f aca="false">ROUND(R155+S156-T156-U156,2)</f>
        <v>0</v>
      </c>
      <c r="S156" s="30" t="n">
        <f aca="false">ROUND(R155*$E$21/12,2)</f>
        <v>0</v>
      </c>
      <c r="T156" s="30" t="n">
        <f aca="false">MIN($D$21,R155+S156)</f>
        <v>0</v>
      </c>
      <c r="U156" s="30" t="n">
        <f aca="false">MAX(0,MIN($C$14-(H156+L156+P156+T156+X156+AB156)-(I156+M156+Q156),R155+S156-T156))</f>
        <v>0</v>
      </c>
      <c r="V156" s="30" t="n">
        <f aca="false">ROUND(V155+W156-X156-Y156,2)</f>
        <v>0</v>
      </c>
      <c r="W156" s="30" t="n">
        <f aca="false">ROUND(V155*$E$22/12,2)</f>
        <v>0</v>
      </c>
      <c r="X156" s="30" t="n">
        <f aca="false">MIN($D$22,V155+W156)</f>
        <v>0</v>
      </c>
      <c r="Y156" s="30" t="n">
        <f aca="false">MAX(0,MIN($C$14-(H156+L156+P156+T156+X156+AB156)-(I156+M156+Q156+U156),V155+W156-X156))</f>
        <v>0</v>
      </c>
      <c r="Z156" s="30" t="n">
        <f aca="false">ROUND(Z155+AA156-AB156-AC156,2)</f>
        <v>0</v>
      </c>
      <c r="AA156" s="30" t="n">
        <f aca="false">ROUND(Z155*$E$23/12,2)</f>
        <v>0</v>
      </c>
      <c r="AB156" s="30" t="n">
        <f aca="false">MIN($D$23,Z155+AA156)</f>
        <v>0</v>
      </c>
      <c r="AC156" s="30" t="n">
        <f aca="false">MAX(0,MIN($C$14-(H156+L156+P156+T156+X156+AB156)-(I156+M156+Q156+U156+Y156),Z155+AA156-AB156))</f>
        <v>0</v>
      </c>
    </row>
    <row r="157" customFormat="false" ht="15" hidden="false" customHeight="false" outlineLevel="0" collapsed="false">
      <c r="A157" s="29" t="n">
        <v>117</v>
      </c>
      <c r="B157" s="30" t="n">
        <f aca="false">F157+J157+N157+R157+V157+Z157</f>
        <v>0</v>
      </c>
      <c r="C157" s="30" t="n">
        <f aca="false">$C$14-E157</f>
        <v>8050</v>
      </c>
      <c r="D157" s="30" t="n">
        <f aca="false">G157+K157+O157+S157+W157+AA157</f>
        <v>0</v>
      </c>
      <c r="E157" s="30" t="n">
        <f aca="false">H157+I157+L157+M157+P157+Q157+T157+U157+X157+Y157+AB157+AC157</f>
        <v>0</v>
      </c>
      <c r="F157" s="30" t="n">
        <f aca="false">ROUND(F156+G157-H157-I157,2)</f>
        <v>0</v>
      </c>
      <c r="G157" s="30" t="n">
        <f aca="false">ROUND(F156*$E$18/12,2)</f>
        <v>0</v>
      </c>
      <c r="H157" s="30" t="n">
        <f aca="false">MIN($D$18,F156+G157)</f>
        <v>0</v>
      </c>
      <c r="I157" s="30" t="n">
        <f aca="false">MAX(0,MIN($C$14-(H157+L157+P157+T157+X157+AB157)-0,F156+G157-H157))</f>
        <v>0</v>
      </c>
      <c r="J157" s="30" t="n">
        <f aca="false">ROUND(J156+K157-L157-M157,2)</f>
        <v>0</v>
      </c>
      <c r="K157" s="30" t="n">
        <f aca="false">ROUND(J156*$E$19/12,2)</f>
        <v>0</v>
      </c>
      <c r="L157" s="30" t="n">
        <f aca="false">MIN($D$19,J156+K157)</f>
        <v>0</v>
      </c>
      <c r="M157" s="30" t="n">
        <f aca="false">MAX(0,MIN($C$14-(H157+L157+P157+T157+X157+AB157)-(I157),J156+K157-L157))</f>
        <v>0</v>
      </c>
      <c r="N157" s="30" t="n">
        <f aca="false">ROUND(N156+O157-P157-Q157,2)</f>
        <v>0</v>
      </c>
      <c r="O157" s="30" t="n">
        <f aca="false">ROUND(N156*$E$20/12,2)</f>
        <v>0</v>
      </c>
      <c r="P157" s="30" t="n">
        <f aca="false">MIN($D$20,N156+O157)</f>
        <v>0</v>
      </c>
      <c r="Q157" s="30" t="n">
        <f aca="false">MAX(0,MIN($C$14-(H157+L157+P157+T157+X157+AB157)-(I157+M157),N156+O157-P157))</f>
        <v>0</v>
      </c>
      <c r="R157" s="30" t="n">
        <f aca="false">ROUND(R156+S157-T157-U157,2)</f>
        <v>0</v>
      </c>
      <c r="S157" s="30" t="n">
        <f aca="false">ROUND(R156*$E$21/12,2)</f>
        <v>0</v>
      </c>
      <c r="T157" s="30" t="n">
        <f aca="false">MIN($D$21,R156+S157)</f>
        <v>0</v>
      </c>
      <c r="U157" s="30" t="n">
        <f aca="false">MAX(0,MIN($C$14-(H157+L157+P157+T157+X157+AB157)-(I157+M157+Q157),R156+S157-T157))</f>
        <v>0</v>
      </c>
      <c r="V157" s="30" t="n">
        <f aca="false">ROUND(V156+W157-X157-Y157,2)</f>
        <v>0</v>
      </c>
      <c r="W157" s="30" t="n">
        <f aca="false">ROUND(V156*$E$22/12,2)</f>
        <v>0</v>
      </c>
      <c r="X157" s="30" t="n">
        <f aca="false">MIN($D$22,V156+W157)</f>
        <v>0</v>
      </c>
      <c r="Y157" s="30" t="n">
        <f aca="false">MAX(0,MIN($C$14-(H157+L157+P157+T157+X157+AB157)-(I157+M157+Q157+U157),V156+W157-X157))</f>
        <v>0</v>
      </c>
      <c r="Z157" s="30" t="n">
        <f aca="false">ROUND(Z156+AA157-AB157-AC157,2)</f>
        <v>0</v>
      </c>
      <c r="AA157" s="30" t="n">
        <f aca="false">ROUND(Z156*$E$23/12,2)</f>
        <v>0</v>
      </c>
      <c r="AB157" s="30" t="n">
        <f aca="false">MIN($D$23,Z156+AA157)</f>
        <v>0</v>
      </c>
      <c r="AC157" s="30" t="n">
        <f aca="false">MAX(0,MIN($C$14-(H157+L157+P157+T157+X157+AB157)-(I157+M157+Q157+U157+Y157),Z156+AA157-AB157))</f>
        <v>0</v>
      </c>
    </row>
    <row r="158" customFormat="false" ht="15" hidden="false" customHeight="false" outlineLevel="0" collapsed="false">
      <c r="A158" s="29" t="n">
        <v>118</v>
      </c>
      <c r="B158" s="30" t="n">
        <f aca="false">F158+J158+N158+R158+V158+Z158</f>
        <v>0</v>
      </c>
      <c r="C158" s="30" t="n">
        <f aca="false">$C$14-E158</f>
        <v>8050</v>
      </c>
      <c r="D158" s="30" t="n">
        <f aca="false">G158+K158+O158+S158+W158+AA158</f>
        <v>0</v>
      </c>
      <c r="E158" s="30" t="n">
        <f aca="false">H158+I158+L158+M158+P158+Q158+T158+U158+X158+Y158+AB158+AC158</f>
        <v>0</v>
      </c>
      <c r="F158" s="30" t="n">
        <f aca="false">ROUND(F157+G158-H158-I158,2)</f>
        <v>0</v>
      </c>
      <c r="G158" s="30" t="n">
        <f aca="false">ROUND(F157*$E$18/12,2)</f>
        <v>0</v>
      </c>
      <c r="H158" s="30" t="n">
        <f aca="false">MIN($D$18,F157+G158)</f>
        <v>0</v>
      </c>
      <c r="I158" s="30" t="n">
        <f aca="false">MAX(0,MIN($C$14-(H158+L158+P158+T158+X158+AB158)-0,F157+G158-H158))</f>
        <v>0</v>
      </c>
      <c r="J158" s="30" t="n">
        <f aca="false">ROUND(J157+K158-L158-M158,2)</f>
        <v>0</v>
      </c>
      <c r="K158" s="30" t="n">
        <f aca="false">ROUND(J157*$E$19/12,2)</f>
        <v>0</v>
      </c>
      <c r="L158" s="30" t="n">
        <f aca="false">MIN($D$19,J157+K158)</f>
        <v>0</v>
      </c>
      <c r="M158" s="30" t="n">
        <f aca="false">MAX(0,MIN($C$14-(H158+L158+P158+T158+X158+AB158)-(I158),J157+K158-L158))</f>
        <v>0</v>
      </c>
      <c r="N158" s="30" t="n">
        <f aca="false">ROUND(N157+O158-P158-Q158,2)</f>
        <v>0</v>
      </c>
      <c r="O158" s="30" t="n">
        <f aca="false">ROUND(N157*$E$20/12,2)</f>
        <v>0</v>
      </c>
      <c r="P158" s="30" t="n">
        <f aca="false">MIN($D$20,N157+O158)</f>
        <v>0</v>
      </c>
      <c r="Q158" s="30" t="n">
        <f aca="false">MAX(0,MIN($C$14-(H158+L158+P158+T158+X158+AB158)-(I158+M158),N157+O158-P158))</f>
        <v>0</v>
      </c>
      <c r="R158" s="30" t="n">
        <f aca="false">ROUND(R157+S158-T158-U158,2)</f>
        <v>0</v>
      </c>
      <c r="S158" s="30" t="n">
        <f aca="false">ROUND(R157*$E$21/12,2)</f>
        <v>0</v>
      </c>
      <c r="T158" s="30" t="n">
        <f aca="false">MIN($D$21,R157+S158)</f>
        <v>0</v>
      </c>
      <c r="U158" s="30" t="n">
        <f aca="false">MAX(0,MIN($C$14-(H158+L158+P158+T158+X158+AB158)-(I158+M158+Q158),R157+S158-T158))</f>
        <v>0</v>
      </c>
      <c r="V158" s="30" t="n">
        <f aca="false">ROUND(V157+W158-X158-Y158,2)</f>
        <v>0</v>
      </c>
      <c r="W158" s="30" t="n">
        <f aca="false">ROUND(V157*$E$22/12,2)</f>
        <v>0</v>
      </c>
      <c r="X158" s="30" t="n">
        <f aca="false">MIN($D$22,V157+W158)</f>
        <v>0</v>
      </c>
      <c r="Y158" s="30" t="n">
        <f aca="false">MAX(0,MIN($C$14-(H158+L158+P158+T158+X158+AB158)-(I158+M158+Q158+U158),V157+W158-X158))</f>
        <v>0</v>
      </c>
      <c r="Z158" s="30" t="n">
        <f aca="false">ROUND(Z157+AA158-AB158-AC158,2)</f>
        <v>0</v>
      </c>
      <c r="AA158" s="30" t="n">
        <f aca="false">ROUND(Z157*$E$23/12,2)</f>
        <v>0</v>
      </c>
      <c r="AB158" s="30" t="n">
        <f aca="false">MIN($D$23,Z157+AA158)</f>
        <v>0</v>
      </c>
      <c r="AC158" s="30" t="n">
        <f aca="false">MAX(0,MIN($C$14-(H158+L158+P158+T158+X158+AB158)-(I158+M158+Q158+U158+Y158),Z157+AA158-AB158))</f>
        <v>0</v>
      </c>
    </row>
    <row r="159" customFormat="false" ht="15" hidden="false" customHeight="false" outlineLevel="0" collapsed="false">
      <c r="A159" s="29" t="n">
        <v>119</v>
      </c>
      <c r="B159" s="30" t="n">
        <f aca="false">F159+J159+N159+R159+V159+Z159</f>
        <v>0</v>
      </c>
      <c r="C159" s="30" t="n">
        <f aca="false">$C$14-E159</f>
        <v>8050</v>
      </c>
      <c r="D159" s="30" t="n">
        <f aca="false">G159+K159+O159+S159+W159+AA159</f>
        <v>0</v>
      </c>
      <c r="E159" s="30" t="n">
        <f aca="false">H159+I159+L159+M159+P159+Q159+T159+U159+X159+Y159+AB159+AC159</f>
        <v>0</v>
      </c>
      <c r="F159" s="30" t="n">
        <f aca="false">ROUND(F158+G159-H159-I159,2)</f>
        <v>0</v>
      </c>
      <c r="G159" s="30" t="n">
        <f aca="false">ROUND(F158*$E$18/12,2)</f>
        <v>0</v>
      </c>
      <c r="H159" s="30" t="n">
        <f aca="false">MIN($D$18,F158+G159)</f>
        <v>0</v>
      </c>
      <c r="I159" s="30" t="n">
        <f aca="false">MAX(0,MIN($C$14-(H159+L159+P159+T159+X159+AB159)-0,F158+G159-H159))</f>
        <v>0</v>
      </c>
      <c r="J159" s="30" t="n">
        <f aca="false">ROUND(J158+K159-L159-M159,2)</f>
        <v>0</v>
      </c>
      <c r="K159" s="30" t="n">
        <f aca="false">ROUND(J158*$E$19/12,2)</f>
        <v>0</v>
      </c>
      <c r="L159" s="30" t="n">
        <f aca="false">MIN($D$19,J158+K159)</f>
        <v>0</v>
      </c>
      <c r="M159" s="30" t="n">
        <f aca="false">MAX(0,MIN($C$14-(H159+L159+P159+T159+X159+AB159)-(I159),J158+K159-L159))</f>
        <v>0</v>
      </c>
      <c r="N159" s="30" t="n">
        <f aca="false">ROUND(N158+O159-P159-Q159,2)</f>
        <v>0</v>
      </c>
      <c r="O159" s="30" t="n">
        <f aca="false">ROUND(N158*$E$20/12,2)</f>
        <v>0</v>
      </c>
      <c r="P159" s="30" t="n">
        <f aca="false">MIN($D$20,N158+O159)</f>
        <v>0</v>
      </c>
      <c r="Q159" s="30" t="n">
        <f aca="false">MAX(0,MIN($C$14-(H159+L159+P159+T159+X159+AB159)-(I159+M159),N158+O159-P159))</f>
        <v>0</v>
      </c>
      <c r="R159" s="30" t="n">
        <f aca="false">ROUND(R158+S159-T159-U159,2)</f>
        <v>0</v>
      </c>
      <c r="S159" s="30" t="n">
        <f aca="false">ROUND(R158*$E$21/12,2)</f>
        <v>0</v>
      </c>
      <c r="T159" s="30" t="n">
        <f aca="false">MIN($D$21,R158+S159)</f>
        <v>0</v>
      </c>
      <c r="U159" s="30" t="n">
        <f aca="false">MAX(0,MIN($C$14-(H159+L159+P159+T159+X159+AB159)-(I159+M159+Q159),R158+S159-T159))</f>
        <v>0</v>
      </c>
      <c r="V159" s="30" t="n">
        <f aca="false">ROUND(V158+W159-X159-Y159,2)</f>
        <v>0</v>
      </c>
      <c r="W159" s="30" t="n">
        <f aca="false">ROUND(V158*$E$22/12,2)</f>
        <v>0</v>
      </c>
      <c r="X159" s="30" t="n">
        <f aca="false">MIN($D$22,V158+W159)</f>
        <v>0</v>
      </c>
      <c r="Y159" s="30" t="n">
        <f aca="false">MAX(0,MIN($C$14-(H159+L159+P159+T159+X159+AB159)-(I159+M159+Q159+U159),V158+W159-X159))</f>
        <v>0</v>
      </c>
      <c r="Z159" s="30" t="n">
        <f aca="false">ROUND(Z158+AA159-AB159-AC159,2)</f>
        <v>0</v>
      </c>
      <c r="AA159" s="30" t="n">
        <f aca="false">ROUND(Z158*$E$23/12,2)</f>
        <v>0</v>
      </c>
      <c r="AB159" s="30" t="n">
        <f aca="false">MIN($D$23,Z158+AA159)</f>
        <v>0</v>
      </c>
      <c r="AC159" s="30" t="n">
        <f aca="false">MAX(0,MIN($C$14-(H159+L159+P159+T159+X159+AB159)-(I159+M159+Q159+U159+Y159),Z158+AA159-AB159))</f>
        <v>0</v>
      </c>
    </row>
    <row r="160" customFormat="false" ht="15" hidden="false" customHeight="false" outlineLevel="0" collapsed="false">
      <c r="A160" s="29" t="n">
        <v>120</v>
      </c>
      <c r="B160" s="30" t="n">
        <f aca="false">F160+J160+N160+R160+V160+Z160</f>
        <v>0</v>
      </c>
      <c r="C160" s="30" t="n">
        <f aca="false">$C$14-E160</f>
        <v>8050</v>
      </c>
      <c r="D160" s="30" t="n">
        <f aca="false">G160+K160+O160+S160+W160+AA160</f>
        <v>0</v>
      </c>
      <c r="E160" s="30" t="n">
        <f aca="false">H160+I160+L160+M160+P160+Q160+T160+U160+X160+Y160+AB160+AC160</f>
        <v>0</v>
      </c>
      <c r="F160" s="30" t="n">
        <f aca="false">ROUND(F159+G160-H160-I160,2)</f>
        <v>0</v>
      </c>
      <c r="G160" s="30" t="n">
        <f aca="false">ROUND(F159*$E$18/12,2)</f>
        <v>0</v>
      </c>
      <c r="H160" s="30" t="n">
        <f aca="false">MIN($D$18,F159+G160)</f>
        <v>0</v>
      </c>
      <c r="I160" s="30" t="n">
        <f aca="false">MAX(0,MIN($C$14-(H160+L160+P160+T160+X160+AB160)-0,F159+G160-H160))</f>
        <v>0</v>
      </c>
      <c r="J160" s="30" t="n">
        <f aca="false">ROUND(J159+K160-L160-M160,2)</f>
        <v>0</v>
      </c>
      <c r="K160" s="30" t="n">
        <f aca="false">ROUND(J159*$E$19/12,2)</f>
        <v>0</v>
      </c>
      <c r="L160" s="30" t="n">
        <f aca="false">MIN($D$19,J159+K160)</f>
        <v>0</v>
      </c>
      <c r="M160" s="30" t="n">
        <f aca="false">MAX(0,MIN($C$14-(H160+L160+P160+T160+X160+AB160)-(I160),J159+K160-L160))</f>
        <v>0</v>
      </c>
      <c r="N160" s="30" t="n">
        <f aca="false">ROUND(N159+O160-P160-Q160,2)</f>
        <v>0</v>
      </c>
      <c r="O160" s="30" t="n">
        <f aca="false">ROUND(N159*$E$20/12,2)</f>
        <v>0</v>
      </c>
      <c r="P160" s="30" t="n">
        <f aca="false">MIN($D$20,N159+O160)</f>
        <v>0</v>
      </c>
      <c r="Q160" s="30" t="n">
        <f aca="false">MAX(0,MIN($C$14-(H160+L160+P160+T160+X160+AB160)-(I160+M160),N159+O160-P160))</f>
        <v>0</v>
      </c>
      <c r="R160" s="30" t="n">
        <f aca="false">ROUND(R159+S160-T160-U160,2)</f>
        <v>0</v>
      </c>
      <c r="S160" s="30" t="n">
        <f aca="false">ROUND(R159*$E$21/12,2)</f>
        <v>0</v>
      </c>
      <c r="T160" s="30" t="n">
        <f aca="false">MIN($D$21,R159+S160)</f>
        <v>0</v>
      </c>
      <c r="U160" s="30" t="n">
        <f aca="false">MAX(0,MIN($C$14-(H160+L160+P160+T160+X160+AB160)-(I160+M160+Q160),R159+S160-T160))</f>
        <v>0</v>
      </c>
      <c r="V160" s="30" t="n">
        <f aca="false">ROUND(V159+W160-X160-Y160,2)</f>
        <v>0</v>
      </c>
      <c r="W160" s="30" t="n">
        <f aca="false">ROUND(V159*$E$22/12,2)</f>
        <v>0</v>
      </c>
      <c r="X160" s="30" t="n">
        <f aca="false">MIN($D$22,V159+W160)</f>
        <v>0</v>
      </c>
      <c r="Y160" s="30" t="n">
        <f aca="false">MAX(0,MIN($C$14-(H160+L160+P160+T160+X160+AB160)-(I160+M160+Q160+U160),V159+W160-X160))</f>
        <v>0</v>
      </c>
      <c r="Z160" s="30" t="n">
        <f aca="false">ROUND(Z159+AA160-AB160-AC160,2)</f>
        <v>0</v>
      </c>
      <c r="AA160" s="30" t="n">
        <f aca="false">ROUND(Z159*$E$23/12,2)</f>
        <v>0</v>
      </c>
      <c r="AB160" s="30" t="n">
        <f aca="false">MIN($D$23,Z159+AA160)</f>
        <v>0</v>
      </c>
      <c r="AC160" s="30" t="n">
        <f aca="false">MAX(0,MIN($C$14-(H160+L160+P160+T160+X160+AB160)-(I160+M160+Q160+U160+Y160),Z159+AA160-AB160))</f>
        <v>0</v>
      </c>
    </row>
  </sheetData>
  <mergeCells count="3">
    <mergeCell ref="A1:L1"/>
    <mergeCell ref="A2:L2"/>
    <mergeCell ref="B3:C3"/>
  </mergeCells>
  <dataValidations count="1">
    <dataValidation allowBlank="false" errorStyle="stop" operator="between" showDropDown="false" showErrorMessage="false" showInputMessage="false" sqref="B3" type="list">
      <formula1>"ดอกเบี้ยสูงสุดก่อน,ยอดน้อยสุดก่อน"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4"/>
  </cols>
  <sheetData>
    <row r="1" customFormat="false" ht="33.75" hidden="false" customHeight="true" outlineLevel="0" collapsed="false">
      <c r="A1" s="1" t="s">
        <v>111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112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8" t="s">
        <v>113</v>
      </c>
      <c r="B4" s="9" t="n">
        <v>300000</v>
      </c>
    </row>
    <row r="5" customFormat="false" ht="15" hidden="false" customHeight="false" outlineLevel="0" collapsed="false">
      <c r="A5" s="8" t="s">
        <v>114</v>
      </c>
      <c r="B5" s="31" t="n">
        <v>36</v>
      </c>
    </row>
    <row r="6" customFormat="false" ht="15" hidden="false" customHeight="false" outlineLevel="0" collapsed="false">
      <c r="A6" s="8" t="s">
        <v>115</v>
      </c>
      <c r="B6" s="9" t="n">
        <v>0</v>
      </c>
    </row>
    <row r="7" customFormat="false" ht="15" hidden="false" customHeight="false" outlineLevel="0" collapsed="false">
      <c r="A7" s="8" t="s">
        <v>116</v>
      </c>
      <c r="B7" s="24" t="n">
        <v>0</v>
      </c>
    </row>
    <row r="8" customFormat="false" ht="15" hidden="false" customHeight="false" outlineLevel="0" collapsed="false">
      <c r="A8" s="16" t="s">
        <v>117</v>
      </c>
    </row>
    <row r="10" customFormat="false" ht="15" hidden="false" customHeight="false" outlineLevel="0" collapsed="false">
      <c r="A10" s="10" t="s">
        <v>118</v>
      </c>
      <c r="B10" s="11" t="n">
        <f aca="false">IF(B5&lt;=0,0,IF(B7=0,MAX(0,B4-B6)/B5,MAX(0,-PMT(B7/12,B5,-B6,B4))))</f>
        <v>8333.33333333333</v>
      </c>
    </row>
    <row r="11" customFormat="false" ht="15" hidden="false" customHeight="false" outlineLevel="0" collapsed="false">
      <c r="A11" s="8" t="s">
        <v>119</v>
      </c>
      <c r="B11" s="19" t="n">
        <f aca="false">B10*12/52</f>
        <v>1923.07692307692</v>
      </c>
    </row>
    <row r="12" customFormat="false" ht="15" hidden="false" customHeight="false" outlineLevel="0" collapsed="false">
      <c r="A12" s="8" t="s">
        <v>120</v>
      </c>
      <c r="B12" s="19" t="n">
        <f aca="false">B10*12/365</f>
        <v>273.972602739726</v>
      </c>
    </row>
    <row r="13" customFormat="false" ht="15" hidden="false" customHeight="false" outlineLevel="0" collapsed="false">
      <c r="A13" s="8" t="s">
        <v>121</v>
      </c>
      <c r="B13" s="14" t="n">
        <f aca="false">งบรายเดือน!B27</f>
        <v>8000</v>
      </c>
    </row>
    <row r="14" customFormat="false" ht="15" hidden="false" customHeight="false" outlineLevel="0" collapsed="false">
      <c r="A14" s="10" t="s">
        <v>122</v>
      </c>
      <c r="B14" s="17" t="str">
        <f aca="false">IF(B13&gt;=B10,"พอ ✓ เก็บถึงเป้าตามเวลา","ยังขาดเดือนละ "&amp;TEXT(B10-B13,"#,##0")&amp;" บาท")</f>
        <v>ยังขาดเดือนละ 333 บาท</v>
      </c>
    </row>
    <row r="15" customFormat="false" ht="15" hidden="false" customHeight="false" outlineLevel="0" collapsed="false">
      <c r="A15" s="8" t="s">
        <v>123</v>
      </c>
      <c r="B15" s="32" t="n">
        <f aca="false">IF(B13&lt;=0,"-",IF(B7=0,IF(B4&lt;=B6,0,ROUNDUP((B4-B6)/B13,0)),IFERROR(ROUNDUP(NPER(B7/12,-B13,-B6,B4),0),"-")))</f>
        <v>38</v>
      </c>
    </row>
    <row r="17" customFormat="false" ht="15" hidden="false" customHeight="false" outlineLevel="0" collapsed="false">
      <c r="A17" s="21" t="s">
        <v>124</v>
      </c>
    </row>
    <row r="19" customFormat="false" ht="15" hidden="false" customHeight="false" outlineLevel="0" collapsed="false">
      <c r="A19" s="7" t="s">
        <v>82</v>
      </c>
      <c r="B19" s="7" t="s">
        <v>125</v>
      </c>
      <c r="C19" s="18" t="s">
        <v>126</v>
      </c>
    </row>
    <row r="20" customFormat="false" ht="15" hidden="false" customHeight="false" outlineLevel="0" collapsed="false">
      <c r="A20" s="8" t="n">
        <v>1</v>
      </c>
      <c r="B20" s="19" t="n">
        <f aca="false">IF(A20&gt;$B$5,"",IF($B$7=0,$B$6+$B$10*A20,$B$6*(1+$B$7/12)^A20+$B$10*((1+$B$7/12)^A20-1)/($B$7/12)))</f>
        <v>8333.33333333333</v>
      </c>
      <c r="C20" s="20" t="n">
        <f aca="false">IF(B20="","",IF($B$4=0,0,B20/$B$4))</f>
        <v>0.0277777777777778</v>
      </c>
    </row>
    <row r="21" customFormat="false" ht="15" hidden="false" customHeight="false" outlineLevel="0" collapsed="false">
      <c r="A21" s="8" t="n">
        <v>2</v>
      </c>
      <c r="B21" s="19" t="n">
        <f aca="false">IF(A21&gt;$B$5,"",IF($B$7=0,$B$6+$B$10*A21,$B$6*(1+$B$7/12)^A21+$B$10*((1+$B$7/12)^A21-1)/($B$7/12)))</f>
        <v>16666.6666666667</v>
      </c>
      <c r="C21" s="20" t="n">
        <f aca="false">IF(B21="","",IF($B$4=0,0,B21/$B$4))</f>
        <v>0.0555555555555556</v>
      </c>
    </row>
    <row r="22" customFormat="false" ht="15" hidden="false" customHeight="false" outlineLevel="0" collapsed="false">
      <c r="A22" s="8" t="n">
        <v>3</v>
      </c>
      <c r="B22" s="19" t="n">
        <f aca="false">IF(A22&gt;$B$5,"",IF($B$7=0,$B$6+$B$10*A22,$B$6*(1+$B$7/12)^A22+$B$10*((1+$B$7/12)^A22-1)/($B$7/12)))</f>
        <v>25000</v>
      </c>
      <c r="C22" s="20" t="n">
        <f aca="false">IF(B22="","",IF($B$4=0,0,B22/$B$4))</f>
        <v>0.0833333333333333</v>
      </c>
    </row>
    <row r="23" customFormat="false" ht="15" hidden="false" customHeight="false" outlineLevel="0" collapsed="false">
      <c r="A23" s="8" t="n">
        <v>4</v>
      </c>
      <c r="B23" s="19" t="n">
        <f aca="false">IF(A23&gt;$B$5,"",IF($B$7=0,$B$6+$B$10*A23,$B$6*(1+$B$7/12)^A23+$B$10*((1+$B$7/12)^A23-1)/($B$7/12)))</f>
        <v>33333.3333333333</v>
      </c>
      <c r="C23" s="20" t="n">
        <f aca="false">IF(B23="","",IF($B$4=0,0,B23/$B$4))</f>
        <v>0.111111111111111</v>
      </c>
    </row>
    <row r="24" customFormat="false" ht="15" hidden="false" customHeight="false" outlineLevel="0" collapsed="false">
      <c r="A24" s="8" t="n">
        <v>5</v>
      </c>
      <c r="B24" s="19" t="n">
        <f aca="false">IF(A24&gt;$B$5,"",IF($B$7=0,$B$6+$B$10*A24,$B$6*(1+$B$7/12)^A24+$B$10*((1+$B$7/12)^A24-1)/($B$7/12)))</f>
        <v>41666.6666666667</v>
      </c>
      <c r="C24" s="20" t="n">
        <f aca="false">IF(B24="","",IF($B$4=0,0,B24/$B$4))</f>
        <v>0.138888888888889</v>
      </c>
    </row>
    <row r="25" customFormat="false" ht="15" hidden="false" customHeight="false" outlineLevel="0" collapsed="false">
      <c r="A25" s="8" t="n">
        <v>6</v>
      </c>
      <c r="B25" s="19" t="n">
        <f aca="false">IF(A25&gt;$B$5,"",IF($B$7=0,$B$6+$B$10*A25,$B$6*(1+$B$7/12)^A25+$B$10*((1+$B$7/12)^A25-1)/($B$7/12)))</f>
        <v>50000</v>
      </c>
      <c r="C25" s="20" t="n">
        <f aca="false">IF(B25="","",IF($B$4=0,0,B25/$B$4))</f>
        <v>0.166666666666667</v>
      </c>
    </row>
    <row r="26" customFormat="false" ht="15" hidden="false" customHeight="false" outlineLevel="0" collapsed="false">
      <c r="A26" s="8" t="n">
        <v>7</v>
      </c>
      <c r="B26" s="19" t="n">
        <f aca="false">IF(A26&gt;$B$5,"",IF($B$7=0,$B$6+$B$10*A26,$B$6*(1+$B$7/12)^A26+$B$10*((1+$B$7/12)^A26-1)/($B$7/12)))</f>
        <v>58333.3333333333</v>
      </c>
      <c r="C26" s="20" t="n">
        <f aca="false">IF(B26="","",IF($B$4=0,0,B26/$B$4))</f>
        <v>0.194444444444444</v>
      </c>
    </row>
    <row r="27" customFormat="false" ht="15" hidden="false" customHeight="false" outlineLevel="0" collapsed="false">
      <c r="A27" s="8" t="n">
        <v>8</v>
      </c>
      <c r="B27" s="19" t="n">
        <f aca="false">IF(A27&gt;$B$5,"",IF($B$7=0,$B$6+$B$10*A27,$B$6*(1+$B$7/12)^A27+$B$10*((1+$B$7/12)^A27-1)/($B$7/12)))</f>
        <v>66666.6666666667</v>
      </c>
      <c r="C27" s="20" t="n">
        <f aca="false">IF(B27="","",IF($B$4=0,0,B27/$B$4))</f>
        <v>0.222222222222222</v>
      </c>
    </row>
    <row r="28" customFormat="false" ht="15" hidden="false" customHeight="false" outlineLevel="0" collapsed="false">
      <c r="A28" s="8" t="n">
        <v>9</v>
      </c>
      <c r="B28" s="19" t="n">
        <f aca="false">IF(A28&gt;$B$5,"",IF($B$7=0,$B$6+$B$10*A28,$B$6*(1+$B$7/12)^A28+$B$10*((1+$B$7/12)^A28-1)/($B$7/12)))</f>
        <v>75000</v>
      </c>
      <c r="C28" s="20" t="n">
        <f aca="false">IF(B28="","",IF($B$4=0,0,B28/$B$4))</f>
        <v>0.25</v>
      </c>
    </row>
    <row r="29" customFormat="false" ht="15" hidden="false" customHeight="false" outlineLevel="0" collapsed="false">
      <c r="A29" s="8" t="n">
        <v>10</v>
      </c>
      <c r="B29" s="19" t="n">
        <f aca="false">IF(A29&gt;$B$5,"",IF($B$7=0,$B$6+$B$10*A29,$B$6*(1+$B$7/12)^A29+$B$10*((1+$B$7/12)^A29-1)/($B$7/12)))</f>
        <v>83333.3333333333</v>
      </c>
      <c r="C29" s="20" t="n">
        <f aca="false">IF(B29="","",IF($B$4=0,0,B29/$B$4))</f>
        <v>0.277777777777778</v>
      </c>
    </row>
    <row r="30" customFormat="false" ht="15" hidden="false" customHeight="false" outlineLevel="0" collapsed="false">
      <c r="A30" s="8" t="n">
        <v>11</v>
      </c>
      <c r="B30" s="19" t="n">
        <f aca="false">IF(A30&gt;$B$5,"",IF($B$7=0,$B$6+$B$10*A30,$B$6*(1+$B$7/12)^A30+$B$10*((1+$B$7/12)^A30-1)/($B$7/12)))</f>
        <v>91666.6666666667</v>
      </c>
      <c r="C30" s="20" t="n">
        <f aca="false">IF(B30="","",IF($B$4=0,0,B30/$B$4))</f>
        <v>0.305555555555556</v>
      </c>
    </row>
    <row r="31" customFormat="false" ht="15" hidden="false" customHeight="false" outlineLevel="0" collapsed="false">
      <c r="A31" s="8" t="n">
        <v>12</v>
      </c>
      <c r="B31" s="19" t="n">
        <f aca="false">IF(A31&gt;$B$5,"",IF($B$7=0,$B$6+$B$10*A31,$B$6*(1+$B$7/12)^A31+$B$10*((1+$B$7/12)^A31-1)/($B$7/12)))</f>
        <v>100000</v>
      </c>
      <c r="C31" s="20" t="n">
        <f aca="false">IF(B31="","",IF($B$4=0,0,B31/$B$4))</f>
        <v>0.333333333333333</v>
      </c>
    </row>
    <row r="32" customFormat="false" ht="15" hidden="false" customHeight="false" outlineLevel="0" collapsed="false">
      <c r="A32" s="8" t="n">
        <v>13</v>
      </c>
      <c r="B32" s="19" t="n">
        <f aca="false">IF(A32&gt;$B$5,"",IF($B$7=0,$B$6+$B$10*A32,$B$6*(1+$B$7/12)^A32+$B$10*((1+$B$7/12)^A32-1)/($B$7/12)))</f>
        <v>108333.333333333</v>
      </c>
      <c r="C32" s="20" t="n">
        <f aca="false">IF(B32="","",IF($B$4=0,0,B32/$B$4))</f>
        <v>0.361111111111111</v>
      </c>
    </row>
    <row r="33" customFormat="false" ht="15" hidden="false" customHeight="false" outlineLevel="0" collapsed="false">
      <c r="A33" s="8" t="n">
        <v>14</v>
      </c>
      <c r="B33" s="19" t="n">
        <f aca="false">IF(A33&gt;$B$5,"",IF($B$7=0,$B$6+$B$10*A33,$B$6*(1+$B$7/12)^A33+$B$10*((1+$B$7/12)^A33-1)/($B$7/12)))</f>
        <v>116666.666666667</v>
      </c>
      <c r="C33" s="20" t="n">
        <f aca="false">IF(B33="","",IF($B$4=0,0,B33/$B$4))</f>
        <v>0.388888888888889</v>
      </c>
    </row>
    <row r="34" customFormat="false" ht="15" hidden="false" customHeight="false" outlineLevel="0" collapsed="false">
      <c r="A34" s="8" t="n">
        <v>15</v>
      </c>
      <c r="B34" s="19" t="n">
        <f aca="false">IF(A34&gt;$B$5,"",IF($B$7=0,$B$6+$B$10*A34,$B$6*(1+$B$7/12)^A34+$B$10*((1+$B$7/12)^A34-1)/($B$7/12)))</f>
        <v>125000</v>
      </c>
      <c r="C34" s="20" t="n">
        <f aca="false">IF(B34="","",IF($B$4=0,0,B34/$B$4))</f>
        <v>0.416666666666667</v>
      </c>
    </row>
    <row r="35" customFormat="false" ht="15" hidden="false" customHeight="false" outlineLevel="0" collapsed="false">
      <c r="A35" s="8" t="n">
        <v>16</v>
      </c>
      <c r="B35" s="19" t="n">
        <f aca="false">IF(A35&gt;$B$5,"",IF($B$7=0,$B$6+$B$10*A35,$B$6*(1+$B$7/12)^A35+$B$10*((1+$B$7/12)^A35-1)/($B$7/12)))</f>
        <v>133333.333333333</v>
      </c>
      <c r="C35" s="20" t="n">
        <f aca="false">IF(B35="","",IF($B$4=0,0,B35/$B$4))</f>
        <v>0.444444444444445</v>
      </c>
    </row>
    <row r="36" customFormat="false" ht="15" hidden="false" customHeight="false" outlineLevel="0" collapsed="false">
      <c r="A36" s="8" t="n">
        <v>17</v>
      </c>
      <c r="B36" s="19" t="n">
        <f aca="false">IF(A36&gt;$B$5,"",IF($B$7=0,$B$6+$B$10*A36,$B$6*(1+$B$7/12)^A36+$B$10*((1+$B$7/12)^A36-1)/($B$7/12)))</f>
        <v>141666.666666667</v>
      </c>
      <c r="C36" s="20" t="n">
        <f aca="false">IF(B36="","",IF($B$4=0,0,B36/$B$4))</f>
        <v>0.472222222222222</v>
      </c>
    </row>
    <row r="37" customFormat="false" ht="15" hidden="false" customHeight="false" outlineLevel="0" collapsed="false">
      <c r="A37" s="8" t="n">
        <v>18</v>
      </c>
      <c r="B37" s="19" t="n">
        <f aca="false">IF(A37&gt;$B$5,"",IF($B$7=0,$B$6+$B$10*A37,$B$6*(1+$B$7/12)^A37+$B$10*((1+$B$7/12)^A37-1)/($B$7/12)))</f>
        <v>150000</v>
      </c>
      <c r="C37" s="20" t="n">
        <f aca="false">IF(B37="","",IF($B$4=0,0,B37/$B$4))</f>
        <v>0.5</v>
      </c>
    </row>
    <row r="38" customFormat="false" ht="15" hidden="false" customHeight="false" outlineLevel="0" collapsed="false">
      <c r="A38" s="8" t="n">
        <v>19</v>
      </c>
      <c r="B38" s="19" t="n">
        <f aca="false">IF(A38&gt;$B$5,"",IF($B$7=0,$B$6+$B$10*A38,$B$6*(1+$B$7/12)^A38+$B$10*((1+$B$7/12)^A38-1)/($B$7/12)))</f>
        <v>158333.333333333</v>
      </c>
      <c r="C38" s="20" t="n">
        <f aca="false">IF(B38="","",IF($B$4=0,0,B38/$B$4))</f>
        <v>0.527777777777778</v>
      </c>
    </row>
    <row r="39" customFormat="false" ht="15" hidden="false" customHeight="false" outlineLevel="0" collapsed="false">
      <c r="A39" s="8" t="n">
        <v>20</v>
      </c>
      <c r="B39" s="19" t="n">
        <f aca="false">IF(A39&gt;$B$5,"",IF($B$7=0,$B$6+$B$10*A39,$B$6*(1+$B$7/12)^A39+$B$10*((1+$B$7/12)^A39-1)/($B$7/12)))</f>
        <v>166666.666666667</v>
      </c>
      <c r="C39" s="20" t="n">
        <f aca="false">IF(B39="","",IF($B$4=0,0,B39/$B$4))</f>
        <v>0.555555555555556</v>
      </c>
    </row>
    <row r="40" customFormat="false" ht="15" hidden="false" customHeight="false" outlineLevel="0" collapsed="false">
      <c r="A40" s="8" t="n">
        <v>21</v>
      </c>
      <c r="B40" s="19" t="n">
        <f aca="false">IF(A40&gt;$B$5,"",IF($B$7=0,$B$6+$B$10*A40,$B$6*(1+$B$7/12)^A40+$B$10*((1+$B$7/12)^A40-1)/($B$7/12)))</f>
        <v>175000</v>
      </c>
      <c r="C40" s="20" t="n">
        <f aca="false">IF(B40="","",IF($B$4=0,0,B40/$B$4))</f>
        <v>0.583333333333333</v>
      </c>
    </row>
    <row r="41" customFormat="false" ht="15" hidden="false" customHeight="false" outlineLevel="0" collapsed="false">
      <c r="A41" s="8" t="n">
        <v>22</v>
      </c>
      <c r="B41" s="19" t="n">
        <f aca="false">IF(A41&gt;$B$5,"",IF($B$7=0,$B$6+$B$10*A41,$B$6*(1+$B$7/12)^A41+$B$10*((1+$B$7/12)^A41-1)/($B$7/12)))</f>
        <v>183333.333333333</v>
      </c>
      <c r="C41" s="20" t="n">
        <f aca="false">IF(B41="","",IF($B$4=0,0,B41/$B$4))</f>
        <v>0.611111111111111</v>
      </c>
    </row>
    <row r="42" customFormat="false" ht="15" hidden="false" customHeight="false" outlineLevel="0" collapsed="false">
      <c r="A42" s="8" t="n">
        <v>23</v>
      </c>
      <c r="B42" s="19" t="n">
        <f aca="false">IF(A42&gt;$B$5,"",IF($B$7=0,$B$6+$B$10*A42,$B$6*(1+$B$7/12)^A42+$B$10*((1+$B$7/12)^A42-1)/($B$7/12)))</f>
        <v>191666.666666667</v>
      </c>
      <c r="C42" s="20" t="n">
        <f aca="false">IF(B42="","",IF($B$4=0,0,B42/$B$4))</f>
        <v>0.638888888888889</v>
      </c>
    </row>
    <row r="43" customFormat="false" ht="15" hidden="false" customHeight="false" outlineLevel="0" collapsed="false">
      <c r="A43" s="8" t="n">
        <v>24</v>
      </c>
      <c r="B43" s="19" t="n">
        <f aca="false">IF(A43&gt;$B$5,"",IF($B$7=0,$B$6+$B$10*A43,$B$6*(1+$B$7/12)^A43+$B$10*((1+$B$7/12)^A43-1)/($B$7/12)))</f>
        <v>200000</v>
      </c>
      <c r="C43" s="20" t="n">
        <f aca="false">IF(B43="","",IF($B$4=0,0,B43/$B$4))</f>
        <v>0.666666666666667</v>
      </c>
    </row>
    <row r="44" customFormat="false" ht="15" hidden="false" customHeight="false" outlineLevel="0" collapsed="false">
      <c r="A44" s="8" t="n">
        <v>25</v>
      </c>
      <c r="B44" s="19" t="n">
        <f aca="false">IF(A44&gt;$B$5,"",IF($B$7=0,$B$6+$B$10*A44,$B$6*(1+$B$7/12)^A44+$B$10*((1+$B$7/12)^A44-1)/($B$7/12)))</f>
        <v>208333.333333333</v>
      </c>
      <c r="C44" s="20" t="n">
        <f aca="false">IF(B44="","",IF($B$4=0,0,B44/$B$4))</f>
        <v>0.694444444444445</v>
      </c>
    </row>
    <row r="45" customFormat="false" ht="15" hidden="false" customHeight="false" outlineLevel="0" collapsed="false">
      <c r="A45" s="8" t="n">
        <v>26</v>
      </c>
      <c r="B45" s="19" t="n">
        <f aca="false">IF(A45&gt;$B$5,"",IF($B$7=0,$B$6+$B$10*A45,$B$6*(1+$B$7/12)^A45+$B$10*((1+$B$7/12)^A45-1)/($B$7/12)))</f>
        <v>216666.666666667</v>
      </c>
      <c r="C45" s="20" t="n">
        <f aca="false">IF(B45="","",IF($B$4=0,0,B45/$B$4))</f>
        <v>0.722222222222222</v>
      </c>
    </row>
    <row r="46" customFormat="false" ht="15" hidden="false" customHeight="false" outlineLevel="0" collapsed="false">
      <c r="A46" s="8" t="n">
        <v>27</v>
      </c>
      <c r="B46" s="19" t="n">
        <f aca="false">IF(A46&gt;$B$5,"",IF($B$7=0,$B$6+$B$10*A46,$B$6*(1+$B$7/12)^A46+$B$10*((1+$B$7/12)^A46-1)/($B$7/12)))</f>
        <v>225000</v>
      </c>
      <c r="C46" s="20" t="n">
        <f aca="false">IF(B46="","",IF($B$4=0,0,B46/$B$4))</f>
        <v>0.75</v>
      </c>
    </row>
    <row r="47" customFormat="false" ht="15" hidden="false" customHeight="false" outlineLevel="0" collapsed="false">
      <c r="A47" s="8" t="n">
        <v>28</v>
      </c>
      <c r="B47" s="19" t="n">
        <f aca="false">IF(A47&gt;$B$5,"",IF($B$7=0,$B$6+$B$10*A47,$B$6*(1+$B$7/12)^A47+$B$10*((1+$B$7/12)^A47-1)/($B$7/12)))</f>
        <v>233333.333333333</v>
      </c>
      <c r="C47" s="20" t="n">
        <f aca="false">IF(B47="","",IF($B$4=0,0,B47/$B$4))</f>
        <v>0.777777777777778</v>
      </c>
    </row>
    <row r="48" customFormat="false" ht="15" hidden="false" customHeight="false" outlineLevel="0" collapsed="false">
      <c r="A48" s="8" t="n">
        <v>29</v>
      </c>
      <c r="B48" s="19" t="n">
        <f aca="false">IF(A48&gt;$B$5,"",IF($B$7=0,$B$6+$B$10*A48,$B$6*(1+$B$7/12)^A48+$B$10*((1+$B$7/12)^A48-1)/($B$7/12)))</f>
        <v>241666.666666667</v>
      </c>
      <c r="C48" s="20" t="n">
        <f aca="false">IF(B48="","",IF($B$4=0,0,B48/$B$4))</f>
        <v>0.805555555555556</v>
      </c>
    </row>
    <row r="49" customFormat="false" ht="15" hidden="false" customHeight="false" outlineLevel="0" collapsed="false">
      <c r="A49" s="8" t="n">
        <v>30</v>
      </c>
      <c r="B49" s="19" t="n">
        <f aca="false">IF(A49&gt;$B$5,"",IF($B$7=0,$B$6+$B$10*A49,$B$6*(1+$B$7/12)^A49+$B$10*((1+$B$7/12)^A49-1)/($B$7/12)))</f>
        <v>250000</v>
      </c>
      <c r="C49" s="20" t="n">
        <f aca="false">IF(B49="","",IF($B$4=0,0,B49/$B$4))</f>
        <v>0.833333333333334</v>
      </c>
    </row>
    <row r="50" customFormat="false" ht="15" hidden="false" customHeight="false" outlineLevel="0" collapsed="false">
      <c r="A50" s="8" t="n">
        <v>31</v>
      </c>
      <c r="B50" s="19" t="n">
        <f aca="false">IF(A50&gt;$B$5,"",IF($B$7=0,$B$6+$B$10*A50,$B$6*(1+$B$7/12)^A50+$B$10*((1+$B$7/12)^A50-1)/($B$7/12)))</f>
        <v>258333.333333333</v>
      </c>
      <c r="C50" s="20" t="n">
        <f aca="false">IF(B50="","",IF($B$4=0,0,B50/$B$4))</f>
        <v>0.861111111111111</v>
      </c>
    </row>
    <row r="51" customFormat="false" ht="15" hidden="false" customHeight="false" outlineLevel="0" collapsed="false">
      <c r="A51" s="8" t="n">
        <v>32</v>
      </c>
      <c r="B51" s="19" t="n">
        <f aca="false">IF(A51&gt;$B$5,"",IF($B$7=0,$B$6+$B$10*A51,$B$6*(1+$B$7/12)^A51+$B$10*((1+$B$7/12)^A51-1)/($B$7/12)))</f>
        <v>266666.666666667</v>
      </c>
      <c r="C51" s="20" t="n">
        <f aca="false">IF(B51="","",IF($B$4=0,0,B51/$B$4))</f>
        <v>0.888888888888889</v>
      </c>
    </row>
    <row r="52" customFormat="false" ht="15" hidden="false" customHeight="false" outlineLevel="0" collapsed="false">
      <c r="A52" s="8" t="n">
        <v>33</v>
      </c>
      <c r="B52" s="19" t="n">
        <f aca="false">IF(A52&gt;$B$5,"",IF($B$7=0,$B$6+$B$10*A52,$B$6*(1+$B$7/12)^A52+$B$10*((1+$B$7/12)^A52-1)/($B$7/12)))</f>
        <v>275000</v>
      </c>
      <c r="C52" s="20" t="n">
        <f aca="false">IF(B52="","",IF($B$4=0,0,B52/$B$4))</f>
        <v>0.916666666666667</v>
      </c>
    </row>
    <row r="53" customFormat="false" ht="15" hidden="false" customHeight="false" outlineLevel="0" collapsed="false">
      <c r="A53" s="8" t="n">
        <v>34</v>
      </c>
      <c r="B53" s="19" t="n">
        <f aca="false">IF(A53&gt;$B$5,"",IF($B$7=0,$B$6+$B$10*A53,$B$6*(1+$B$7/12)^A53+$B$10*((1+$B$7/12)^A53-1)/($B$7/12)))</f>
        <v>283333.333333333</v>
      </c>
      <c r="C53" s="20" t="n">
        <f aca="false">IF(B53="","",IF($B$4=0,0,B53/$B$4))</f>
        <v>0.944444444444445</v>
      </c>
    </row>
    <row r="54" customFormat="false" ht="15" hidden="false" customHeight="false" outlineLevel="0" collapsed="false">
      <c r="A54" s="8" t="n">
        <v>35</v>
      </c>
      <c r="B54" s="19" t="n">
        <f aca="false">IF(A54&gt;$B$5,"",IF($B$7=0,$B$6+$B$10*A54,$B$6*(1+$B$7/12)^A54+$B$10*((1+$B$7/12)^A54-1)/($B$7/12)))</f>
        <v>291666.666666667</v>
      </c>
      <c r="C54" s="20" t="n">
        <f aca="false">IF(B54="","",IF($B$4=0,0,B54/$B$4))</f>
        <v>0.972222222222222</v>
      </c>
    </row>
    <row r="55" customFormat="false" ht="15" hidden="false" customHeight="false" outlineLevel="0" collapsed="false">
      <c r="A55" s="8" t="n">
        <v>36</v>
      </c>
      <c r="B55" s="19" t="n">
        <f aca="false">IF(A55&gt;$B$5,"",IF($B$7=0,$B$6+$B$10*A55,$B$6*(1+$B$7/12)^A55+$B$10*((1+$B$7/12)^A55-1)/($B$7/12)))</f>
        <v>300000</v>
      </c>
      <c r="C55" s="20" t="n">
        <f aca="false">IF(B55="","",IF($B$4=0,0,B55/$B$4))</f>
        <v>1</v>
      </c>
    </row>
    <row r="56" customFormat="false" ht="15" hidden="false" customHeight="false" outlineLevel="0" collapsed="false">
      <c r="A56" s="8" t="n">
        <v>37</v>
      </c>
      <c r="B56" s="19" t="str">
        <f aca="false">IF(A56&gt;$B$5,"",IF($B$7=0,$B$6+$B$10*A56,$B$6*(1+$B$7/12)^A56+$B$10*((1+$B$7/12)^A56-1)/($B$7/12)))</f>
        <v/>
      </c>
      <c r="C56" s="20" t="str">
        <f aca="false">IF(B56="","",IF($B$4=0,0,B56/$B$4))</f>
        <v/>
      </c>
    </row>
    <row r="57" customFormat="false" ht="15" hidden="false" customHeight="false" outlineLevel="0" collapsed="false">
      <c r="A57" s="8" t="n">
        <v>38</v>
      </c>
      <c r="B57" s="19" t="str">
        <f aca="false">IF(A57&gt;$B$5,"",IF($B$7=0,$B$6+$B$10*A57,$B$6*(1+$B$7/12)^A57+$B$10*((1+$B$7/12)^A57-1)/($B$7/12)))</f>
        <v/>
      </c>
      <c r="C57" s="20" t="str">
        <f aca="false">IF(B57="","",IF($B$4=0,0,B57/$B$4))</f>
        <v/>
      </c>
    </row>
    <row r="58" customFormat="false" ht="15" hidden="false" customHeight="false" outlineLevel="0" collapsed="false">
      <c r="A58" s="8" t="n">
        <v>39</v>
      </c>
      <c r="B58" s="19" t="str">
        <f aca="false">IF(A58&gt;$B$5,"",IF($B$7=0,$B$6+$B$10*A58,$B$6*(1+$B$7/12)^A58+$B$10*((1+$B$7/12)^A58-1)/($B$7/12)))</f>
        <v/>
      </c>
      <c r="C58" s="20" t="str">
        <f aca="false">IF(B58="","",IF($B$4=0,0,B58/$B$4))</f>
        <v/>
      </c>
    </row>
    <row r="59" customFormat="false" ht="15" hidden="false" customHeight="false" outlineLevel="0" collapsed="false">
      <c r="A59" s="8" t="n">
        <v>40</v>
      </c>
      <c r="B59" s="19" t="str">
        <f aca="false">IF(A59&gt;$B$5,"",IF($B$7=0,$B$6+$B$10*A59,$B$6*(1+$B$7/12)^A59+$B$10*((1+$B$7/12)^A59-1)/($B$7/12)))</f>
        <v/>
      </c>
      <c r="C59" s="20" t="str">
        <f aca="false">IF(B59="","",IF($B$4=0,0,B59/$B$4))</f>
        <v/>
      </c>
    </row>
    <row r="60" customFormat="false" ht="15" hidden="false" customHeight="false" outlineLevel="0" collapsed="false">
      <c r="A60" s="8" t="n">
        <v>41</v>
      </c>
      <c r="B60" s="19" t="str">
        <f aca="false">IF(A60&gt;$B$5,"",IF($B$7=0,$B$6+$B$10*A60,$B$6*(1+$B$7/12)^A60+$B$10*((1+$B$7/12)^A60-1)/($B$7/12)))</f>
        <v/>
      </c>
      <c r="C60" s="20" t="str">
        <f aca="false">IF(B60="","",IF($B$4=0,0,B60/$B$4))</f>
        <v/>
      </c>
    </row>
    <row r="61" customFormat="false" ht="15" hidden="false" customHeight="false" outlineLevel="0" collapsed="false">
      <c r="A61" s="8" t="n">
        <v>42</v>
      </c>
      <c r="B61" s="19" t="str">
        <f aca="false">IF(A61&gt;$B$5,"",IF($B$7=0,$B$6+$B$10*A61,$B$6*(1+$B$7/12)^A61+$B$10*((1+$B$7/12)^A61-1)/($B$7/12)))</f>
        <v/>
      </c>
      <c r="C61" s="20" t="str">
        <f aca="false">IF(B61="","",IF($B$4=0,0,B61/$B$4))</f>
        <v/>
      </c>
    </row>
    <row r="62" customFormat="false" ht="15" hidden="false" customHeight="false" outlineLevel="0" collapsed="false">
      <c r="A62" s="8" t="n">
        <v>43</v>
      </c>
      <c r="B62" s="19" t="str">
        <f aca="false">IF(A62&gt;$B$5,"",IF($B$7=0,$B$6+$B$10*A62,$B$6*(1+$B$7/12)^A62+$B$10*((1+$B$7/12)^A62-1)/($B$7/12)))</f>
        <v/>
      </c>
      <c r="C62" s="20" t="str">
        <f aca="false">IF(B62="","",IF($B$4=0,0,B62/$B$4))</f>
        <v/>
      </c>
    </row>
    <row r="63" customFormat="false" ht="15" hidden="false" customHeight="false" outlineLevel="0" collapsed="false">
      <c r="A63" s="8" t="n">
        <v>44</v>
      </c>
      <c r="B63" s="19" t="str">
        <f aca="false">IF(A63&gt;$B$5,"",IF($B$7=0,$B$6+$B$10*A63,$B$6*(1+$B$7/12)^A63+$B$10*((1+$B$7/12)^A63-1)/($B$7/12)))</f>
        <v/>
      </c>
      <c r="C63" s="20" t="str">
        <f aca="false">IF(B63="","",IF($B$4=0,0,B63/$B$4))</f>
        <v/>
      </c>
    </row>
    <row r="64" customFormat="false" ht="15" hidden="false" customHeight="false" outlineLevel="0" collapsed="false">
      <c r="A64" s="8" t="n">
        <v>45</v>
      </c>
      <c r="B64" s="19" t="str">
        <f aca="false">IF(A64&gt;$B$5,"",IF($B$7=0,$B$6+$B$10*A64,$B$6*(1+$B$7/12)^A64+$B$10*((1+$B$7/12)^A64-1)/($B$7/12)))</f>
        <v/>
      </c>
      <c r="C64" s="20" t="str">
        <f aca="false">IF(B64="","",IF($B$4=0,0,B64/$B$4))</f>
        <v/>
      </c>
    </row>
    <row r="65" customFormat="false" ht="15" hidden="false" customHeight="false" outlineLevel="0" collapsed="false">
      <c r="A65" s="8" t="n">
        <v>46</v>
      </c>
      <c r="B65" s="19" t="str">
        <f aca="false">IF(A65&gt;$B$5,"",IF($B$7=0,$B$6+$B$10*A65,$B$6*(1+$B$7/12)^A65+$B$10*((1+$B$7/12)^A65-1)/($B$7/12)))</f>
        <v/>
      </c>
      <c r="C65" s="20" t="str">
        <f aca="false">IF(B65="","",IF($B$4=0,0,B65/$B$4))</f>
        <v/>
      </c>
    </row>
    <row r="66" customFormat="false" ht="15" hidden="false" customHeight="false" outlineLevel="0" collapsed="false">
      <c r="A66" s="8" t="n">
        <v>47</v>
      </c>
      <c r="B66" s="19" t="str">
        <f aca="false">IF(A66&gt;$B$5,"",IF($B$7=0,$B$6+$B$10*A66,$B$6*(1+$B$7/12)^A66+$B$10*((1+$B$7/12)^A66-1)/($B$7/12)))</f>
        <v/>
      </c>
      <c r="C66" s="20" t="str">
        <f aca="false">IF(B66="","",IF($B$4=0,0,B66/$B$4))</f>
        <v/>
      </c>
    </row>
    <row r="67" customFormat="false" ht="15" hidden="false" customHeight="false" outlineLevel="0" collapsed="false">
      <c r="A67" s="8" t="n">
        <v>48</v>
      </c>
      <c r="B67" s="19" t="str">
        <f aca="false">IF(A67&gt;$B$5,"",IF($B$7=0,$B$6+$B$10*A67,$B$6*(1+$B$7/12)^A67+$B$10*((1+$B$7/12)^A67-1)/($B$7/12)))</f>
        <v/>
      </c>
      <c r="C67" s="20" t="str">
        <f aca="false">IF(B67="","",IF($B$4=0,0,B67/$B$4))</f>
        <v/>
      </c>
    </row>
    <row r="68" customFormat="false" ht="15" hidden="false" customHeight="false" outlineLevel="0" collapsed="false">
      <c r="A68" s="8" t="n">
        <v>49</v>
      </c>
      <c r="B68" s="19" t="str">
        <f aca="false">IF(A68&gt;$B$5,"",IF($B$7=0,$B$6+$B$10*A68,$B$6*(1+$B$7/12)^A68+$B$10*((1+$B$7/12)^A68-1)/($B$7/12)))</f>
        <v/>
      </c>
      <c r="C68" s="20" t="str">
        <f aca="false">IF(B68="","",IF($B$4=0,0,B68/$B$4))</f>
        <v/>
      </c>
    </row>
    <row r="69" customFormat="false" ht="15" hidden="false" customHeight="false" outlineLevel="0" collapsed="false">
      <c r="A69" s="8" t="n">
        <v>50</v>
      </c>
      <c r="B69" s="19" t="str">
        <f aca="false">IF(A69&gt;$B$5,"",IF($B$7=0,$B$6+$B$10*A69,$B$6*(1+$B$7/12)^A69+$B$10*((1+$B$7/12)^A69-1)/($B$7/12)))</f>
        <v/>
      </c>
      <c r="C69" s="20" t="str">
        <f aca="false">IF(B69="","",IF($B$4=0,0,B69/$B$4))</f>
        <v/>
      </c>
    </row>
    <row r="70" customFormat="false" ht="15" hidden="false" customHeight="false" outlineLevel="0" collapsed="false">
      <c r="A70" s="8" t="n">
        <v>51</v>
      </c>
      <c r="B70" s="19" t="str">
        <f aca="false">IF(A70&gt;$B$5,"",IF($B$7=0,$B$6+$B$10*A70,$B$6*(1+$B$7/12)^A70+$B$10*((1+$B$7/12)^A70-1)/($B$7/12)))</f>
        <v/>
      </c>
      <c r="C70" s="20" t="str">
        <f aca="false">IF(B70="","",IF($B$4=0,0,B70/$B$4))</f>
        <v/>
      </c>
    </row>
    <row r="71" customFormat="false" ht="15" hidden="false" customHeight="false" outlineLevel="0" collapsed="false">
      <c r="A71" s="8" t="n">
        <v>52</v>
      </c>
      <c r="B71" s="19" t="str">
        <f aca="false">IF(A71&gt;$B$5,"",IF($B$7=0,$B$6+$B$10*A71,$B$6*(1+$B$7/12)^A71+$B$10*((1+$B$7/12)^A71-1)/($B$7/12)))</f>
        <v/>
      </c>
      <c r="C71" s="20" t="str">
        <f aca="false">IF(B71="","",IF($B$4=0,0,B71/$B$4))</f>
        <v/>
      </c>
    </row>
    <row r="72" customFormat="false" ht="15" hidden="false" customHeight="false" outlineLevel="0" collapsed="false">
      <c r="A72" s="8" t="n">
        <v>53</v>
      </c>
      <c r="B72" s="19" t="str">
        <f aca="false">IF(A72&gt;$B$5,"",IF($B$7=0,$B$6+$B$10*A72,$B$6*(1+$B$7/12)^A72+$B$10*((1+$B$7/12)^A72-1)/($B$7/12)))</f>
        <v/>
      </c>
      <c r="C72" s="20" t="str">
        <f aca="false">IF(B72="","",IF($B$4=0,0,B72/$B$4))</f>
        <v/>
      </c>
    </row>
    <row r="73" customFormat="false" ht="15" hidden="false" customHeight="false" outlineLevel="0" collapsed="false">
      <c r="A73" s="8" t="n">
        <v>54</v>
      </c>
      <c r="B73" s="19" t="str">
        <f aca="false">IF(A73&gt;$B$5,"",IF($B$7=0,$B$6+$B$10*A73,$B$6*(1+$B$7/12)^A73+$B$10*((1+$B$7/12)^A73-1)/($B$7/12)))</f>
        <v/>
      </c>
      <c r="C73" s="20" t="str">
        <f aca="false">IF(B73="","",IF($B$4=0,0,B73/$B$4))</f>
        <v/>
      </c>
    </row>
    <row r="74" customFormat="false" ht="15" hidden="false" customHeight="false" outlineLevel="0" collapsed="false">
      <c r="A74" s="8" t="n">
        <v>55</v>
      </c>
      <c r="B74" s="19" t="str">
        <f aca="false">IF(A74&gt;$B$5,"",IF($B$7=0,$B$6+$B$10*A74,$B$6*(1+$B$7/12)^A74+$B$10*((1+$B$7/12)^A74-1)/($B$7/12)))</f>
        <v/>
      </c>
      <c r="C74" s="20" t="str">
        <f aca="false">IF(B74="","",IF($B$4=0,0,B74/$B$4))</f>
        <v/>
      </c>
    </row>
    <row r="75" customFormat="false" ht="15" hidden="false" customHeight="false" outlineLevel="0" collapsed="false">
      <c r="A75" s="8" t="n">
        <v>56</v>
      </c>
      <c r="B75" s="19" t="str">
        <f aca="false">IF(A75&gt;$B$5,"",IF($B$7=0,$B$6+$B$10*A75,$B$6*(1+$B$7/12)^A75+$B$10*((1+$B$7/12)^A75-1)/($B$7/12)))</f>
        <v/>
      </c>
      <c r="C75" s="20" t="str">
        <f aca="false">IF(B75="","",IF($B$4=0,0,B75/$B$4))</f>
        <v/>
      </c>
    </row>
    <row r="76" customFormat="false" ht="15" hidden="false" customHeight="false" outlineLevel="0" collapsed="false">
      <c r="A76" s="8" t="n">
        <v>57</v>
      </c>
      <c r="B76" s="19" t="str">
        <f aca="false">IF(A76&gt;$B$5,"",IF($B$7=0,$B$6+$B$10*A76,$B$6*(1+$B$7/12)^A76+$B$10*((1+$B$7/12)^A76-1)/($B$7/12)))</f>
        <v/>
      </c>
      <c r="C76" s="20" t="str">
        <f aca="false">IF(B76="","",IF($B$4=0,0,B76/$B$4))</f>
        <v/>
      </c>
    </row>
    <row r="77" customFormat="false" ht="15" hidden="false" customHeight="false" outlineLevel="0" collapsed="false">
      <c r="A77" s="8" t="n">
        <v>58</v>
      </c>
      <c r="B77" s="19" t="str">
        <f aca="false">IF(A77&gt;$B$5,"",IF($B$7=0,$B$6+$B$10*A77,$B$6*(1+$B$7/12)^A77+$B$10*((1+$B$7/12)^A77-1)/($B$7/12)))</f>
        <v/>
      </c>
      <c r="C77" s="20" t="str">
        <f aca="false">IF(B77="","",IF($B$4=0,0,B77/$B$4))</f>
        <v/>
      </c>
    </row>
    <row r="78" customFormat="false" ht="15" hidden="false" customHeight="false" outlineLevel="0" collapsed="false">
      <c r="A78" s="8" t="n">
        <v>59</v>
      </c>
      <c r="B78" s="19" t="str">
        <f aca="false">IF(A78&gt;$B$5,"",IF($B$7=0,$B$6+$B$10*A78,$B$6*(1+$B$7/12)^A78+$B$10*((1+$B$7/12)^A78-1)/($B$7/12)))</f>
        <v/>
      </c>
      <c r="C78" s="20" t="str">
        <f aca="false">IF(B78="","",IF($B$4=0,0,B78/$B$4))</f>
        <v/>
      </c>
    </row>
    <row r="79" customFormat="false" ht="15" hidden="false" customHeight="false" outlineLevel="0" collapsed="false">
      <c r="A79" s="8" t="n">
        <v>60</v>
      </c>
      <c r="B79" s="19" t="str">
        <f aca="false">IF(A79&gt;$B$5,"",IF($B$7=0,$B$6+$B$10*A79,$B$6*(1+$B$7/12)^A79+$B$10*((1+$B$7/12)^A79-1)/($B$7/12)))</f>
        <v/>
      </c>
      <c r="C79" s="20" t="str">
        <f aca="false">IF(B79="","",IF($B$4=0,0,B79/$B$4))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33.75" hidden="false" customHeight="true" outlineLevel="0" collapsed="false">
      <c r="A1" s="1" t="s">
        <v>127</v>
      </c>
      <c r="B1" s="1"/>
      <c r="C1" s="1"/>
    </row>
    <row r="2" customFormat="false" ht="31.5" hidden="false" customHeight="true" outlineLevel="0" collapsed="false">
      <c r="A2" s="2" t="s">
        <v>128</v>
      </c>
      <c r="B2" s="2"/>
      <c r="C2" s="2"/>
    </row>
    <row r="4" customFormat="false" ht="15" hidden="false" customHeight="false" outlineLevel="0" collapsed="false">
      <c r="A4" s="7" t="s">
        <v>129</v>
      </c>
      <c r="B4" s="7" t="s">
        <v>130</v>
      </c>
    </row>
    <row r="5" customFormat="false" ht="61.5" hidden="false" customHeight="true" outlineLevel="0" collapsed="false">
      <c r="A5" s="33" t="s">
        <v>131</v>
      </c>
      <c r="B5" s="34" t="s">
        <v>132</v>
      </c>
    </row>
    <row r="6" customFormat="false" ht="61.5" hidden="false" customHeight="true" outlineLevel="0" collapsed="false">
      <c r="A6" s="33" t="s">
        <v>133</v>
      </c>
      <c r="B6" s="34" t="s">
        <v>134</v>
      </c>
    </row>
    <row r="7" customFormat="false" ht="61.5" hidden="false" customHeight="true" outlineLevel="0" collapsed="false">
      <c r="A7" s="33" t="s">
        <v>135</v>
      </c>
      <c r="B7" s="34" t="s">
        <v>136</v>
      </c>
    </row>
    <row r="8" customFormat="false" ht="61.5" hidden="false" customHeight="true" outlineLevel="0" collapsed="false">
      <c r="A8" s="33" t="s">
        <v>137</v>
      </c>
      <c r="B8" s="34" t="s">
        <v>138</v>
      </c>
    </row>
    <row r="9" customFormat="false" ht="61.5" hidden="false" customHeight="true" outlineLevel="0" collapsed="false">
      <c r="A9" s="33" t="s">
        <v>139</v>
      </c>
      <c r="B9" s="34" t="s">
        <v>140</v>
      </c>
    </row>
    <row r="10" customFormat="false" ht="61.5" hidden="false" customHeight="true" outlineLevel="0" collapsed="false">
      <c r="A10" s="33" t="s">
        <v>141</v>
      </c>
      <c r="B10" s="34" t="s">
        <v>142</v>
      </c>
    </row>
    <row r="11" customFormat="false" ht="61.5" hidden="false" customHeight="true" outlineLevel="0" collapsed="false">
      <c r="A11" s="33" t="s">
        <v>143</v>
      </c>
      <c r="B11" s="34" t="s">
        <v>144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2026-10-24T17:04:07Z</dcterms:created>
  <dc:creator>openpyxl</dc:creator>
  <dc:description/>
  <dc:language>en-US</dc:language>
  <cp:lastModifiedBy/>
  <dcterms:modified xsi:type="dcterms:W3CDTF">2026-10-24T17:04:07Z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